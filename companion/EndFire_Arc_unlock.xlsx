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mix/companion-module-dev/companion-module-meyersound-galaxy/companion/"/>
    </mc:Choice>
  </mc:AlternateContent>
  <xr:revisionPtr revIDLastSave="0" documentId="13_ncr:1_{B8A6769E-EF9F-DC46-B2BA-518C972DDE30}" xr6:coauthVersionLast="47" xr6:coauthVersionMax="47" xr10:uidLastSave="{00000000-0000-0000-0000-000000000000}"/>
  <bookViews>
    <workbookView xWindow="0" yWindow="800" windowWidth="35980" windowHeight="25780" xr2:uid="{00000000-000D-0000-FFFF-FFFF00000000}"/>
  </bookViews>
  <sheets>
    <sheet name="EndFire Helper" sheetId="3" r:id="rId1"/>
    <sheet name="calc" sheetId="1" r:id="rId2"/>
  </sheets>
  <definedNames>
    <definedName name="AcC_row2">calc!$AC$16</definedName>
    <definedName name="AcC_virtual">calc!$AC$15</definedName>
    <definedName name="ArrayAngle">calc!$AC$6</definedName>
    <definedName name="ArrayDepth">'EndFire Helper'!$S$25</definedName>
    <definedName name="ArrayDirection">calc!$AC$7</definedName>
    <definedName name="ArrayWidth">'EndFire Helper'!$S$24</definedName>
    <definedName name="AvD">'EndFire Helper'!#REF!</definedName>
    <definedName name="BestCancel">'EndFire Helper'!$S$19</definedName>
    <definedName name="CancelF">'EndFire Helper'!$N$15</definedName>
    <definedName name="distance">'EndFire Helper'!$N$13</definedName>
    <definedName name="HPF">'EndFire Helper'!$S$17</definedName>
    <definedName name="HPF_f">#REF!</definedName>
    <definedName name="LPF">'EndFire Helper'!$S$18</definedName>
    <definedName name="LPF_f">#REF!</definedName>
    <definedName name="MainSwtch">'EndFire Helper'!$J$2</definedName>
    <definedName name="OffsetRot">calc!$AC$18</definedName>
    <definedName name="OffsetRotDG">'EndFire Helper'!$S$9</definedName>
    <definedName name="offsetT">'EndFire Helper'!$S$8</definedName>
    <definedName name="OffsetVenue">calc!$N$39</definedName>
    <definedName name="offsetX">'EndFire Helper'!$S$6</definedName>
    <definedName name="offsetY">'EndFire Helper'!$S$7</definedName>
    <definedName name="Option">'EndFire Helper'!#REF!</definedName>
    <definedName name="RotateSpkr">'EndFire Helper'!$N$10</definedName>
    <definedName name="Single_splay">calc!$AC$14</definedName>
    <definedName name="sos">'EndFire Helper'!$N$3</definedName>
    <definedName name="Spacing_row1">'EndFire Helper'!$N$9</definedName>
    <definedName name="Spkr_in_row1">calc!$AC$5</definedName>
    <definedName name="temperature">'EndFire Helper'!$N$2</definedName>
    <definedName name="time">'EndFire Helper'!$N$14</definedName>
    <definedName name="userAngle">'EndFire Helper'!$N$7</definedName>
    <definedName name="userDirection">'EndFire Helper'!$N$11</definedName>
    <definedName name="userSpkr">'EndFire Helper'!$N$6</definedName>
    <definedName name="VenueDepth">'EndFire Helper'!$S$30</definedName>
    <definedName name="VenueWidth">'EndFire Helper'!$S$29</definedName>
    <definedName name="WindowPadding">calc!$N$45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19" i="3" l="1"/>
  <c r="AG5" i="1" l="1"/>
  <c r="D49" i="1" l="1"/>
  <c r="D50" i="1"/>
  <c r="D51" i="1"/>
  <c r="D52" i="1"/>
  <c r="D53" i="1"/>
  <c r="D54" i="1"/>
  <c r="AC7" i="1" l="1"/>
  <c r="S13" i="1"/>
  <c r="S14" i="1"/>
  <c r="S15" i="1"/>
  <c r="S16" i="1"/>
  <c r="S17" i="1"/>
  <c r="S18" i="1"/>
  <c r="AC5" i="1" l="1"/>
  <c r="AC6" i="1"/>
  <c r="N24" i="3" l="1"/>
  <c r="AC14" i="1"/>
  <c r="Z15" i="1"/>
  <c r="T12" i="1"/>
  <c r="Z18" i="1"/>
  <c r="Z14" i="1"/>
  <c r="Z17" i="1"/>
  <c r="Z13" i="1"/>
  <c r="Z16" i="1"/>
  <c r="O6" i="3"/>
  <c r="AD7" i="1"/>
  <c r="AD5" i="1"/>
  <c r="N8" i="3"/>
  <c r="S31" i="3"/>
  <c r="N36" i="1"/>
  <c r="N35" i="1"/>
  <c r="N34" i="1"/>
  <c r="N33" i="1"/>
  <c r="N32" i="1"/>
  <c r="N31" i="1"/>
  <c r="N30" i="1"/>
  <c r="N29" i="1"/>
  <c r="N28" i="1"/>
  <c r="N27" i="1"/>
  <c r="N26" i="1"/>
  <c r="N25" i="1"/>
  <c r="H26" i="1"/>
  <c r="H27" i="1"/>
  <c r="H28" i="1"/>
  <c r="H29" i="1"/>
  <c r="H30" i="1"/>
  <c r="H25" i="1"/>
  <c r="C30" i="1"/>
  <c r="C31" i="1" s="1"/>
  <c r="C29" i="1"/>
  <c r="C32" i="1" s="1"/>
  <c r="C28" i="1"/>
  <c r="C33" i="1" s="1"/>
  <c r="C27" i="1"/>
  <c r="C34" i="1" s="1"/>
  <c r="C26" i="1"/>
  <c r="C35" i="1" s="1"/>
  <c r="C25" i="1"/>
  <c r="C36" i="1" s="1"/>
  <c r="AC18" i="1"/>
  <c r="AD6" i="1" l="1"/>
  <c r="O7" i="3"/>
  <c r="D48" i="1"/>
  <c r="D47" i="1"/>
  <c r="D46" i="1"/>
  <c r="D45" i="1"/>
  <c r="D44" i="1"/>
  <c r="D43" i="1"/>
  <c r="C48" i="1"/>
  <c r="C49" i="1" s="1"/>
  <c r="C47" i="1"/>
  <c r="C50" i="1" s="1"/>
  <c r="C46" i="1"/>
  <c r="C51" i="1" s="1"/>
  <c r="C45" i="1"/>
  <c r="C52" i="1" s="1"/>
  <c r="C44" i="1"/>
  <c r="C53" i="1" s="1"/>
  <c r="C43" i="1"/>
  <c r="C54" i="1" s="1"/>
  <c r="F22" i="3" l="1"/>
  <c r="F18" i="1"/>
  <c r="F17" i="1"/>
  <c r="F16" i="1"/>
  <c r="F15" i="1"/>
  <c r="F14" i="1"/>
  <c r="H13" i="1"/>
  <c r="H31" i="1" s="1"/>
  <c r="F13" i="1"/>
  <c r="I12" i="1"/>
  <c r="G12" i="1"/>
  <c r="I11" i="1"/>
  <c r="H14" i="1"/>
  <c r="H32" i="1" s="1"/>
  <c r="I10" i="1"/>
  <c r="H15" i="1"/>
  <c r="H33" i="1" s="1"/>
  <c r="I9" i="1"/>
  <c r="H16" i="1"/>
  <c r="H34" i="1" s="1"/>
  <c r="I8" i="1"/>
  <c r="H17" i="1"/>
  <c r="H35" i="1" s="1"/>
  <c r="I7" i="1"/>
  <c r="H18" i="1"/>
  <c r="H36" i="1" s="1"/>
  <c r="AC16" i="1"/>
  <c r="F21" i="3"/>
  <c r="T13" i="1"/>
  <c r="C7" i="1"/>
  <c r="C8" i="1"/>
  <c r="C9" i="1"/>
  <c r="C10" i="1"/>
  <c r="C11" i="1"/>
  <c r="C12" i="1"/>
  <c r="T14" i="1" l="1"/>
  <c r="W13" i="1"/>
  <c r="T30" i="1"/>
  <c r="S30" i="1"/>
  <c r="G30" i="1"/>
  <c r="F30" i="1"/>
  <c r="I17" i="1"/>
  <c r="I13" i="1"/>
  <c r="I18" i="1"/>
  <c r="I16" i="1"/>
  <c r="I14" i="1"/>
  <c r="I15" i="1"/>
  <c r="J12" i="1"/>
  <c r="I30" i="1" s="1"/>
  <c r="G11" i="1"/>
  <c r="G13" i="1"/>
  <c r="W12" i="1"/>
  <c r="S13" i="3"/>
  <c r="N3" i="3"/>
  <c r="Z12" i="1"/>
  <c r="Z11" i="1"/>
  <c r="Z10" i="1"/>
  <c r="Z9" i="1"/>
  <c r="Z8" i="1"/>
  <c r="Z7" i="1"/>
  <c r="Y18" i="1"/>
  <c r="Y17" i="1"/>
  <c r="Y16" i="1"/>
  <c r="Y15" i="1"/>
  <c r="Y14" i="1"/>
  <c r="Y13" i="1"/>
  <c r="V7" i="1"/>
  <c r="V18" i="1" s="1"/>
  <c r="V8" i="1"/>
  <c r="V17" i="1" s="1"/>
  <c r="V9" i="1"/>
  <c r="V16" i="1" s="1"/>
  <c r="V10" i="1"/>
  <c r="V15" i="1" s="1"/>
  <c r="V11" i="1"/>
  <c r="V14" i="1" s="1"/>
  <c r="V12" i="1"/>
  <c r="V13" i="1" s="1"/>
  <c r="T11" i="1"/>
  <c r="G48" i="1" l="1"/>
  <c r="H48" i="1" s="1"/>
  <c r="E52" i="1"/>
  <c r="E49" i="1"/>
  <c r="E51" i="1"/>
  <c r="F52" i="1"/>
  <c r="E54" i="1"/>
  <c r="F51" i="1"/>
  <c r="E50" i="1"/>
  <c r="E53" i="1"/>
  <c r="F50" i="1"/>
  <c r="F53" i="1"/>
  <c r="F54" i="1"/>
  <c r="F49" i="1"/>
  <c r="G49" i="1"/>
  <c r="I49" i="1" s="1"/>
  <c r="T15" i="1"/>
  <c r="W14" i="1"/>
  <c r="G50" i="1" s="1"/>
  <c r="D12" i="1"/>
  <c r="D13" i="1" s="1"/>
  <c r="D14" i="1" s="1"/>
  <c r="G29" i="1"/>
  <c r="F29" i="1"/>
  <c r="S29" i="1"/>
  <c r="T29" i="1"/>
  <c r="V30" i="1"/>
  <c r="W30" i="1"/>
  <c r="G31" i="1"/>
  <c r="F31" i="1"/>
  <c r="J30" i="1"/>
  <c r="J13" i="1"/>
  <c r="I31" i="1" s="1"/>
  <c r="AC15" i="1"/>
  <c r="AI5" i="1" s="1"/>
  <c r="T10" i="1"/>
  <c r="AG6" i="1"/>
  <c r="N25" i="3" s="1"/>
  <c r="F46" i="1"/>
  <c r="F44" i="1"/>
  <c r="F48" i="1"/>
  <c r="F45" i="1"/>
  <c r="F47" i="1"/>
  <c r="F43" i="1"/>
  <c r="E48" i="1"/>
  <c r="E44" i="1"/>
  <c r="N14" i="3"/>
  <c r="E47" i="1"/>
  <c r="E46" i="1"/>
  <c r="E45" i="1"/>
  <c r="E43" i="1"/>
  <c r="AG10" i="1"/>
  <c r="N29" i="3" s="1"/>
  <c r="C14" i="3"/>
  <c r="G14" i="1"/>
  <c r="J11" i="1"/>
  <c r="G10" i="1"/>
  <c r="K10" i="1"/>
  <c r="K7" i="1"/>
  <c r="K11" i="1"/>
  <c r="K8" i="1"/>
  <c r="K12" i="1"/>
  <c r="K9" i="1"/>
  <c r="W11" i="1"/>
  <c r="C13" i="3"/>
  <c r="C8" i="3"/>
  <c r="C12" i="3"/>
  <c r="C11" i="3"/>
  <c r="C10" i="3"/>
  <c r="C9" i="3"/>
  <c r="S20" i="3"/>
  <c r="S12" i="3"/>
  <c r="I48" i="1" l="1"/>
  <c r="H49" i="1"/>
  <c r="J49" i="1" s="1"/>
  <c r="J48" i="1"/>
  <c r="H50" i="1"/>
  <c r="J50" i="1" s="1"/>
  <c r="I50" i="1"/>
  <c r="N15" i="3"/>
  <c r="N18" i="3" s="1"/>
  <c r="Q13" i="1"/>
  <c r="Q17" i="1"/>
  <c r="Q16" i="1"/>
  <c r="Q14" i="1"/>
  <c r="Q18" i="1"/>
  <c r="Q15" i="1"/>
  <c r="T16" i="1"/>
  <c r="W15" i="1"/>
  <c r="G51" i="1" s="1"/>
  <c r="G47" i="1"/>
  <c r="I47" i="1" s="1"/>
  <c r="W10" i="1"/>
  <c r="W28" i="1" s="1"/>
  <c r="S33" i="1"/>
  <c r="E13" i="1"/>
  <c r="AI10" i="1"/>
  <c r="AI11" i="1" s="1"/>
  <c r="D15" i="1"/>
  <c r="E14" i="1"/>
  <c r="D30" i="1"/>
  <c r="D13" i="3" s="1"/>
  <c r="K13" i="1"/>
  <c r="K31" i="1" s="1"/>
  <c r="K30" i="1"/>
  <c r="K15" i="1"/>
  <c r="K33" i="1" s="1"/>
  <c r="K28" i="1"/>
  <c r="S28" i="1"/>
  <c r="T28" i="1"/>
  <c r="J31" i="1"/>
  <c r="W29" i="1"/>
  <c r="S32" i="1"/>
  <c r="T32" i="1"/>
  <c r="T31" i="1"/>
  <c r="S31" i="1"/>
  <c r="K17" i="1"/>
  <c r="K35" i="1" s="1"/>
  <c r="K26" i="1"/>
  <c r="G28" i="1"/>
  <c r="F28" i="1"/>
  <c r="V31" i="1"/>
  <c r="W31" i="1"/>
  <c r="V29" i="1"/>
  <c r="K14" i="1"/>
  <c r="K32" i="1" s="1"/>
  <c r="K29" i="1"/>
  <c r="I29" i="1"/>
  <c r="J29" i="1"/>
  <c r="K16" i="1"/>
  <c r="K34" i="1" s="1"/>
  <c r="K27" i="1"/>
  <c r="K18" i="1"/>
  <c r="K36" i="1" s="1"/>
  <c r="K25" i="1"/>
  <c r="G32" i="1"/>
  <c r="F32" i="1"/>
  <c r="J10" i="1"/>
  <c r="J14" i="1"/>
  <c r="T9" i="1"/>
  <c r="AG11" i="1"/>
  <c r="N30" i="3" s="1"/>
  <c r="G9" i="1"/>
  <c r="C16" i="3"/>
  <c r="G15" i="1"/>
  <c r="W32" i="1"/>
  <c r="C15" i="3"/>
  <c r="C18" i="3"/>
  <c r="C17" i="3"/>
  <c r="C19" i="3"/>
  <c r="AG8" i="1"/>
  <c r="N27" i="3" s="1"/>
  <c r="AG7" i="1"/>
  <c r="N26" i="3" s="1"/>
  <c r="Q8" i="1"/>
  <c r="Q12" i="1"/>
  <c r="Q11" i="1"/>
  <c r="Q9" i="1"/>
  <c r="Q7" i="1"/>
  <c r="Q10" i="1"/>
  <c r="D11" i="1"/>
  <c r="E12" i="1"/>
  <c r="N19" i="3" l="1"/>
  <c r="V28" i="1"/>
  <c r="N17" i="3"/>
  <c r="H47" i="1"/>
  <c r="J47" i="1" s="1"/>
  <c r="I51" i="1"/>
  <c r="H51" i="1"/>
  <c r="J51" i="1" s="1"/>
  <c r="L12" i="1"/>
  <c r="M12" i="1"/>
  <c r="P13" i="1"/>
  <c r="L14" i="1"/>
  <c r="T17" i="1"/>
  <c r="W16" i="1"/>
  <c r="G52" i="1" s="1"/>
  <c r="M13" i="1"/>
  <c r="O13" i="1"/>
  <c r="L13" i="1"/>
  <c r="G46" i="1"/>
  <c r="V33" i="1"/>
  <c r="P14" i="1"/>
  <c r="O14" i="1"/>
  <c r="AI6" i="1"/>
  <c r="AI7" i="1" s="1"/>
  <c r="M14" i="1"/>
  <c r="D16" i="1"/>
  <c r="E15" i="1"/>
  <c r="D29" i="1"/>
  <c r="D12" i="3" s="1"/>
  <c r="D31" i="1"/>
  <c r="D14" i="3" s="1"/>
  <c r="T33" i="1"/>
  <c r="Q33" i="1"/>
  <c r="Q28" i="1"/>
  <c r="I28" i="1"/>
  <c r="J28" i="1"/>
  <c r="V32" i="1"/>
  <c r="Q36" i="1"/>
  <c r="Q25" i="1"/>
  <c r="Q35" i="1"/>
  <c r="Q26" i="1"/>
  <c r="G33" i="1"/>
  <c r="F33" i="1"/>
  <c r="Q32" i="1"/>
  <c r="Q29" i="1"/>
  <c r="Q31" i="1"/>
  <c r="Q30" i="1"/>
  <c r="Q34" i="1"/>
  <c r="Q27" i="1"/>
  <c r="S27" i="1"/>
  <c r="T27" i="1"/>
  <c r="G27" i="1"/>
  <c r="F27" i="1"/>
  <c r="I32" i="1"/>
  <c r="J32" i="1"/>
  <c r="J9" i="1"/>
  <c r="J16" i="1" s="1"/>
  <c r="J15" i="1"/>
  <c r="T8" i="1"/>
  <c r="W9" i="1"/>
  <c r="K15" i="3"/>
  <c r="K12" i="3"/>
  <c r="K14" i="3"/>
  <c r="K13" i="3"/>
  <c r="G8" i="1"/>
  <c r="G16" i="1"/>
  <c r="P12" i="1"/>
  <c r="O12" i="1"/>
  <c r="D10" i="1"/>
  <c r="E11" i="1"/>
  <c r="M30" i="1" l="1"/>
  <c r="F13" i="3" s="1"/>
  <c r="N48" i="1" s="1"/>
  <c r="H52" i="1"/>
  <c r="J52" i="1" s="1"/>
  <c r="I52" i="1"/>
  <c r="T18" i="1"/>
  <c r="W17" i="1"/>
  <c r="G53" i="1" s="1"/>
  <c r="W33" i="1"/>
  <c r="O15" i="1"/>
  <c r="P15" i="1"/>
  <c r="H46" i="1"/>
  <c r="J46" i="1" s="1"/>
  <c r="I46" i="1"/>
  <c r="AI8" i="1"/>
  <c r="L15" i="1"/>
  <c r="M15" i="1"/>
  <c r="D17" i="1"/>
  <c r="E16" i="1"/>
  <c r="D32" i="1"/>
  <c r="D15" i="3" s="1"/>
  <c r="D28" i="1"/>
  <c r="D11" i="3" s="1"/>
  <c r="I33" i="1"/>
  <c r="J33" i="1"/>
  <c r="G34" i="1"/>
  <c r="F34" i="1"/>
  <c r="J34" i="1"/>
  <c r="I34" i="1"/>
  <c r="W27" i="1"/>
  <c r="V27" i="1"/>
  <c r="J27" i="1"/>
  <c r="I27" i="1"/>
  <c r="L30" i="1"/>
  <c r="O30" i="1"/>
  <c r="H13" i="3" s="1"/>
  <c r="P48" i="1" s="1"/>
  <c r="P30" i="1"/>
  <c r="I13" i="3" s="1"/>
  <c r="Q48" i="1" s="1"/>
  <c r="G26" i="1"/>
  <c r="F26" i="1"/>
  <c r="S34" i="1"/>
  <c r="T34" i="1"/>
  <c r="S26" i="1"/>
  <c r="T26" i="1"/>
  <c r="J8" i="1"/>
  <c r="G45" i="1"/>
  <c r="T7" i="1"/>
  <c r="W8" i="1"/>
  <c r="G7" i="1"/>
  <c r="G17" i="1"/>
  <c r="R13" i="1"/>
  <c r="U13" i="1" s="1"/>
  <c r="O11" i="1"/>
  <c r="P11" i="1"/>
  <c r="D9" i="1"/>
  <c r="R12" i="1"/>
  <c r="U12" i="1" s="1"/>
  <c r="M11" i="1"/>
  <c r="L11" i="1"/>
  <c r="E10" i="1"/>
  <c r="I53" i="1" l="1"/>
  <c r="H53" i="1"/>
  <c r="J53" i="1" s="1"/>
  <c r="W18" i="1"/>
  <c r="G54" i="1" s="1"/>
  <c r="U30" i="1"/>
  <c r="G13" i="3" s="1"/>
  <c r="X13" i="1"/>
  <c r="K16" i="3"/>
  <c r="K11" i="3"/>
  <c r="O16" i="1"/>
  <c r="P16" i="1"/>
  <c r="M16" i="1"/>
  <c r="L16" i="1"/>
  <c r="D18" i="1"/>
  <c r="E18" i="1" s="1"/>
  <c r="E17" i="1"/>
  <c r="D33" i="1"/>
  <c r="D16" i="3" s="1"/>
  <c r="D27" i="1"/>
  <c r="D10" i="3" s="1"/>
  <c r="R30" i="1"/>
  <c r="E13" i="3"/>
  <c r="M48" i="1" s="1"/>
  <c r="G35" i="1"/>
  <c r="F35" i="1"/>
  <c r="S35" i="1"/>
  <c r="T35" i="1"/>
  <c r="J26" i="1"/>
  <c r="I26" i="1"/>
  <c r="L29" i="1"/>
  <c r="E12" i="3" s="1"/>
  <c r="M47" i="1" s="1"/>
  <c r="M29" i="1"/>
  <c r="F12" i="3" s="1"/>
  <c r="N47" i="1" s="1"/>
  <c r="M31" i="1"/>
  <c r="F14" i="3" s="1"/>
  <c r="N49" i="1" s="1"/>
  <c r="L31" i="1"/>
  <c r="E14" i="3" s="1"/>
  <c r="M49" i="1" s="1"/>
  <c r="G25" i="1"/>
  <c r="F25" i="1"/>
  <c r="S25" i="1"/>
  <c r="T25" i="1"/>
  <c r="W34" i="1"/>
  <c r="V34" i="1"/>
  <c r="O29" i="1"/>
  <c r="H12" i="3" s="1"/>
  <c r="P47" i="1" s="1"/>
  <c r="P29" i="1"/>
  <c r="I12" i="3" s="1"/>
  <c r="Q47" i="1" s="1"/>
  <c r="O31" i="1"/>
  <c r="H14" i="3" s="1"/>
  <c r="P49" i="1" s="1"/>
  <c r="P31" i="1"/>
  <c r="I14" i="3" s="1"/>
  <c r="Q49" i="1" s="1"/>
  <c r="W26" i="1"/>
  <c r="V26" i="1"/>
  <c r="G44" i="1"/>
  <c r="W7" i="1"/>
  <c r="AH5" i="1" s="1"/>
  <c r="O24" i="3" s="1"/>
  <c r="H45" i="1"/>
  <c r="J45" i="1" s="1"/>
  <c r="I45" i="1"/>
  <c r="J7" i="1"/>
  <c r="J17" i="1"/>
  <c r="G18" i="1"/>
  <c r="R14" i="1"/>
  <c r="U14" i="1" s="1"/>
  <c r="X14" i="1" s="1"/>
  <c r="O10" i="1"/>
  <c r="P10" i="1"/>
  <c r="D8" i="1"/>
  <c r="R11" i="1"/>
  <c r="U11" i="1" s="1"/>
  <c r="X12" i="1"/>
  <c r="L10" i="1"/>
  <c r="M10" i="1"/>
  <c r="E9" i="1"/>
  <c r="H54" i="1" l="1"/>
  <c r="J54" i="1" s="1"/>
  <c r="I54" i="1"/>
  <c r="U31" i="1"/>
  <c r="G14" i="3" s="1"/>
  <c r="P17" i="1"/>
  <c r="O17" i="1"/>
  <c r="X30" i="1"/>
  <c r="J13" i="3" s="1"/>
  <c r="X31" i="1"/>
  <c r="J14" i="3" s="1"/>
  <c r="O18" i="1"/>
  <c r="P18" i="1"/>
  <c r="L17" i="1"/>
  <c r="M17" i="1"/>
  <c r="M18" i="1"/>
  <c r="L18" i="1"/>
  <c r="D34" i="1"/>
  <c r="D17" i="3" s="1"/>
  <c r="D26" i="1"/>
  <c r="D9" i="3" s="1"/>
  <c r="O28" i="1"/>
  <c r="H11" i="3" s="1"/>
  <c r="P46" i="1" s="1"/>
  <c r="P28" i="1"/>
  <c r="I11" i="3" s="1"/>
  <c r="Q46" i="1" s="1"/>
  <c r="L32" i="1"/>
  <c r="E15" i="3" s="1"/>
  <c r="M50" i="1" s="1"/>
  <c r="M32" i="1"/>
  <c r="F15" i="3" s="1"/>
  <c r="N50" i="1" s="1"/>
  <c r="W35" i="1"/>
  <c r="V35" i="1"/>
  <c r="O32" i="1"/>
  <c r="H15" i="3" s="1"/>
  <c r="P50" i="1" s="1"/>
  <c r="P32" i="1"/>
  <c r="I15" i="3" s="1"/>
  <c r="Q50" i="1" s="1"/>
  <c r="G36" i="1"/>
  <c r="F36" i="1"/>
  <c r="L28" i="1"/>
  <c r="E11" i="3" s="1"/>
  <c r="M46" i="1" s="1"/>
  <c r="M28" i="1"/>
  <c r="F11" i="3" s="1"/>
  <c r="N46" i="1" s="1"/>
  <c r="V25" i="1"/>
  <c r="W25" i="1"/>
  <c r="J35" i="1"/>
  <c r="I35" i="1"/>
  <c r="I25" i="1"/>
  <c r="J25" i="1"/>
  <c r="S36" i="1"/>
  <c r="T36" i="1"/>
  <c r="R29" i="1"/>
  <c r="G43" i="1"/>
  <c r="J18" i="1"/>
  <c r="K17" i="3"/>
  <c r="K10" i="3"/>
  <c r="H44" i="1"/>
  <c r="J44" i="1" s="1"/>
  <c r="I44" i="1"/>
  <c r="O9" i="1"/>
  <c r="P9" i="1"/>
  <c r="D7" i="1"/>
  <c r="R10" i="1"/>
  <c r="U10" i="1" s="1"/>
  <c r="M9" i="1"/>
  <c r="L9" i="1"/>
  <c r="E8" i="1"/>
  <c r="U28" i="1" l="1"/>
  <c r="G11" i="3" s="1"/>
  <c r="U29" i="1"/>
  <c r="G12" i="3" s="1"/>
  <c r="U32" i="1"/>
  <c r="G15" i="3" s="1"/>
  <c r="R15" i="1"/>
  <c r="U15" i="1" s="1"/>
  <c r="X15" i="1" s="1"/>
  <c r="D35" i="1"/>
  <c r="D18" i="3" s="1"/>
  <c r="D25" i="1"/>
  <c r="D8" i="3" s="1"/>
  <c r="R28" i="1"/>
  <c r="L33" i="1"/>
  <c r="E16" i="3" s="1"/>
  <c r="M51" i="1" s="1"/>
  <c r="M33" i="1"/>
  <c r="F16" i="3" s="1"/>
  <c r="N51" i="1" s="1"/>
  <c r="P27" i="1"/>
  <c r="I10" i="3" s="1"/>
  <c r="Q45" i="1" s="1"/>
  <c r="O27" i="1"/>
  <c r="H10" i="3" s="1"/>
  <c r="P45" i="1" s="1"/>
  <c r="O33" i="1"/>
  <c r="H16" i="3" s="1"/>
  <c r="P51" i="1" s="1"/>
  <c r="P33" i="1"/>
  <c r="I16" i="3" s="1"/>
  <c r="Q51" i="1" s="1"/>
  <c r="V36" i="1"/>
  <c r="W36" i="1"/>
  <c r="I36" i="1"/>
  <c r="J36" i="1"/>
  <c r="L27" i="1"/>
  <c r="E10" i="3" s="1"/>
  <c r="M45" i="1" s="1"/>
  <c r="M27" i="1"/>
  <c r="F10" i="3" s="1"/>
  <c r="N45" i="1" s="1"/>
  <c r="H43" i="1"/>
  <c r="J43" i="1" s="1"/>
  <c r="I43" i="1"/>
  <c r="K18" i="3"/>
  <c r="K9" i="3"/>
  <c r="AH6" i="1"/>
  <c r="O25" i="3" s="1"/>
  <c r="AH10" i="1"/>
  <c r="O29" i="3" s="1"/>
  <c r="X11" i="1"/>
  <c r="P8" i="1"/>
  <c r="O8" i="1"/>
  <c r="X10" i="1"/>
  <c r="R9" i="1"/>
  <c r="U9" i="1" s="1"/>
  <c r="L8" i="1"/>
  <c r="M8" i="1"/>
  <c r="E7" i="1"/>
  <c r="U33" i="1" l="1"/>
  <c r="G16" i="3" s="1"/>
  <c r="X29" i="1"/>
  <c r="J12" i="3" s="1"/>
  <c r="U27" i="1"/>
  <c r="G10" i="3" s="1"/>
  <c r="X28" i="1"/>
  <c r="J11" i="3" s="1"/>
  <c r="R16" i="1"/>
  <c r="U16" i="1" s="1"/>
  <c r="D36" i="1"/>
  <c r="D19" i="3" s="1"/>
  <c r="L26" i="1"/>
  <c r="E9" i="3" s="1"/>
  <c r="M44" i="1" s="1"/>
  <c r="M26" i="1"/>
  <c r="F9" i="3" s="1"/>
  <c r="N44" i="1" s="1"/>
  <c r="L34" i="1"/>
  <c r="E17" i="3" s="1"/>
  <c r="M52" i="1" s="1"/>
  <c r="M34" i="1"/>
  <c r="F17" i="3" s="1"/>
  <c r="N52" i="1" s="1"/>
  <c r="P34" i="1"/>
  <c r="I17" i="3" s="1"/>
  <c r="Q52" i="1" s="1"/>
  <c r="O34" i="1"/>
  <c r="H17" i="3" s="1"/>
  <c r="P52" i="1" s="1"/>
  <c r="P26" i="1"/>
  <c r="I9" i="3" s="1"/>
  <c r="Q44" i="1" s="1"/>
  <c r="O26" i="1"/>
  <c r="H9" i="3" s="1"/>
  <c r="P44" i="1" s="1"/>
  <c r="R27" i="1"/>
  <c r="AH11" i="1"/>
  <c r="O30" i="3" s="1"/>
  <c r="AH7" i="1"/>
  <c r="O26" i="3" s="1"/>
  <c r="AH8" i="1"/>
  <c r="O27" i="3" s="1"/>
  <c r="K8" i="3"/>
  <c r="K19" i="3"/>
  <c r="X32" i="1"/>
  <c r="J15" i="3" s="1"/>
  <c r="X33" i="1"/>
  <c r="J16" i="3" s="1"/>
  <c r="R17" i="1"/>
  <c r="U17" i="1" s="1"/>
  <c r="X17" i="1" s="1"/>
  <c r="O7" i="1"/>
  <c r="P7" i="1"/>
  <c r="R8" i="1"/>
  <c r="X9" i="1"/>
  <c r="M7" i="1"/>
  <c r="L7" i="1"/>
  <c r="U34" i="1" l="1"/>
  <c r="G17" i="3" s="1"/>
  <c r="X16" i="1"/>
  <c r="X34" i="1" s="1"/>
  <c r="J17" i="3" s="1"/>
  <c r="X27" i="1"/>
  <c r="J10" i="3" s="1"/>
  <c r="L35" i="1"/>
  <c r="E18" i="3" s="1"/>
  <c r="M53" i="1" s="1"/>
  <c r="M35" i="1"/>
  <c r="F18" i="3" s="1"/>
  <c r="N53" i="1" s="1"/>
  <c r="L25" i="1"/>
  <c r="E8" i="3" s="1"/>
  <c r="M43" i="1" s="1"/>
  <c r="M25" i="1"/>
  <c r="F8" i="3" s="1"/>
  <c r="N43" i="1" s="1"/>
  <c r="P35" i="1"/>
  <c r="I18" i="3" s="1"/>
  <c r="Q53" i="1" s="1"/>
  <c r="O35" i="1"/>
  <c r="H18" i="3" s="1"/>
  <c r="P53" i="1" s="1"/>
  <c r="O25" i="1"/>
  <c r="H8" i="3" s="1"/>
  <c r="P43" i="1" s="1"/>
  <c r="P25" i="1"/>
  <c r="I8" i="3" s="1"/>
  <c r="Q43" i="1" s="1"/>
  <c r="R26" i="1"/>
  <c r="R7" i="1"/>
  <c r="R18" i="1"/>
  <c r="U18" i="1" s="1"/>
  <c r="X18" i="1" s="1"/>
  <c r="U8" i="1"/>
  <c r="U26" i="1" l="1"/>
  <c r="G9" i="3" s="1"/>
  <c r="L36" i="1"/>
  <c r="E19" i="3" s="1"/>
  <c r="M54" i="1" s="1"/>
  <c r="M36" i="1"/>
  <c r="F19" i="3" s="1"/>
  <c r="N54" i="1" s="1"/>
  <c r="O36" i="1"/>
  <c r="H19" i="3" s="1"/>
  <c r="P54" i="1" s="1"/>
  <c r="P36" i="1"/>
  <c r="I19" i="3" s="1"/>
  <c r="Q54" i="1" s="1"/>
  <c r="R25" i="1"/>
  <c r="X8" i="1"/>
  <c r="U35" i="1"/>
  <c r="G18" i="3" s="1"/>
  <c r="U7" i="1"/>
  <c r="X26" i="1" l="1"/>
  <c r="J9" i="3" s="1"/>
  <c r="U25" i="1"/>
  <c r="G8" i="3" s="1"/>
  <c r="S24" i="3"/>
  <c r="S25" i="3"/>
  <c r="X35" i="1"/>
  <c r="J18" i="3" s="1"/>
  <c r="X7" i="1"/>
  <c r="U36" i="1"/>
  <c r="G19" i="3" s="1"/>
  <c r="X25" i="1" l="1"/>
  <c r="J8" i="3" s="1"/>
  <c r="X36" i="1"/>
  <c r="J19" i="3" s="1"/>
  <c r="AC11" i="1"/>
</calcChain>
</file>

<file path=xl/sharedStrings.xml><?xml version="1.0" encoding="utf-8"?>
<sst xmlns="http://schemas.openxmlformats.org/spreadsheetml/2006/main" count="264" uniqueCount="93">
  <si>
    <t>End Fire</t>
  </si>
  <si>
    <t>m</t>
  </si>
  <si>
    <t>[ms]</t>
  </si>
  <si>
    <t>[dB]</t>
  </si>
  <si>
    <t>level</t>
  </si>
  <si>
    <t>ms</t>
  </si>
  <si>
    <t>Hz</t>
  </si>
  <si>
    <t>LPF</t>
  </si>
  <si>
    <t>HPF</t>
  </si>
  <si>
    <t>delay</t>
  </si>
  <si>
    <t>m/s</t>
  </si>
  <si>
    <t>°C</t>
  </si>
  <si>
    <t>LF -6dB</t>
  </si>
  <si>
    <t>HF -6dB</t>
  </si>
  <si>
    <t>Spacing</t>
  </si>
  <si>
    <t>[m]</t>
  </si>
  <si>
    <t>Array angle</t>
  </si>
  <si>
    <t>dg</t>
  </si>
  <si>
    <t>ROW 1</t>
  </si>
  <si>
    <t>ROW 2</t>
  </si>
  <si>
    <t>[dg]</t>
  </si>
  <si>
    <t>Single splay</t>
  </si>
  <si>
    <t>rotation</t>
  </si>
  <si>
    <t>time</t>
  </si>
  <si>
    <t>Speakers in row</t>
  </si>
  <si>
    <t>λ</t>
  </si>
  <si>
    <t>2/3 λ</t>
  </si>
  <si>
    <t>1/2 λ</t>
  </si>
  <si>
    <t>[rad]</t>
  </si>
  <si>
    <t>Acoustic C row 2</t>
  </si>
  <si>
    <t>Distance</t>
  </si>
  <si>
    <t>Y</t>
  </si>
  <si>
    <t>X</t>
  </si>
  <si>
    <t>dist 2 r1</t>
  </si>
  <si>
    <t>id</t>
  </si>
  <si>
    <t>L</t>
  </si>
  <si>
    <t>R</t>
  </si>
  <si>
    <t>Little EndFire helper</t>
  </si>
  <si>
    <t>Array info</t>
  </si>
  <si>
    <t>pom</t>
  </si>
  <si>
    <t>Acoustic C physical</t>
  </si>
  <si>
    <t>physical row1</t>
  </si>
  <si>
    <t>physical row2</t>
  </si>
  <si>
    <t>consider</t>
  </si>
  <si>
    <t>Rotation</t>
  </si>
  <si>
    <t>Array</t>
  </si>
  <si>
    <t>Spacing row 1</t>
  </si>
  <si>
    <t>Temperature</t>
  </si>
  <si>
    <t>Speed of sound</t>
  </si>
  <si>
    <t>Row 1</t>
  </si>
  <si>
    <t>Row 2</t>
  </si>
  <si>
    <t>Delay</t>
  </si>
  <si>
    <t>Cancelation</t>
  </si>
  <si>
    <t>Little EndFire Helper</t>
  </si>
  <si>
    <t>Offsets</t>
  </si>
  <si>
    <t>Total speakers</t>
  </si>
  <si>
    <t>Total dsp channels</t>
  </si>
  <si>
    <t>Row 2 Physical</t>
  </si>
  <si>
    <t>row1 0dg</t>
  </si>
  <si>
    <t>row2 0dg</t>
  </si>
  <si>
    <t>Array length</t>
  </si>
  <si>
    <t>Array depth</t>
  </si>
  <si>
    <t>Tool: Distance 4 cancel</t>
  </si>
  <si>
    <t>Tool: Cancel 4 XOver</t>
  </si>
  <si>
    <t>Array width</t>
  </si>
  <si>
    <t>Dimensions</t>
  </si>
  <si>
    <t>distance</t>
  </si>
  <si>
    <t>freq</t>
  </si>
  <si>
    <t>[Hz]</t>
  </si>
  <si>
    <t>row 1 to row 2 physical</t>
  </si>
  <si>
    <t>row 1 to row 2 lines</t>
  </si>
  <si>
    <t>diff</t>
  </si>
  <si>
    <t>[%]</t>
  </si>
  <si>
    <t>1/4 λ</t>
  </si>
  <si>
    <t>R1 vs R2</t>
  </si>
  <si>
    <t>rad</t>
  </si>
  <si>
    <t>Cancelation differences</t>
  </si>
  <si>
    <t>Speaker Rotation</t>
  </si>
  <si>
    <t>of Venue</t>
  </si>
  <si>
    <t>FAR</t>
  </si>
  <si>
    <t>Array takes</t>
  </si>
  <si>
    <t>%</t>
  </si>
  <si>
    <t>Array direction</t>
  </si>
  <si>
    <t>seru</t>
  </si>
  <si>
    <t>Graph</t>
  </si>
  <si>
    <t>Venue</t>
  </si>
  <si>
    <t>width</t>
  </si>
  <si>
    <t>length</t>
  </si>
  <si>
    <t>Speaker position</t>
  </si>
  <si>
    <t>2) line</t>
  </si>
  <si>
    <t>1) arc</t>
  </si>
  <si>
    <t>Critical f</t>
  </si>
  <si>
    <t>Max cancelation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</si>
</sst>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%"/>
    <numFmt numFmtId="167" formatCode="#,##0.0&quot; m&quot;"/>
    <numFmt numFmtId="168" formatCode="#,##0&quot; Hz&quot;"/>
    <numFmt numFmtId="169" formatCode="#,##0.00&quot; m&quot;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0" tint="-0.499984740745262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1"/>
      <color theme="5" tint="-0.499984740745262"/>
      <name val="Calibri"/>
      <family val="2"/>
      <charset val="238"/>
      <scheme val="minor"/>
    </font>
    <font>
      <sz val="10"/>
      <color theme="0" tint="-0.499984740745262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color rgb="FFFFFF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theme="1" tint="0.499984740745262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71">
    <xf numFmtId="0" fontId="0" fillId="0" borderId="0" xfId="0"/>
    <xf numFmtId="0" fontId="1" fillId="0" borderId="0" xfId="0" applyFont="1"/>
    <xf numFmtId="0" fontId="2" fillId="0" borderId="0" xfId="0" applyFont="1"/>
    <xf numFmtId="2" fontId="1" fillId="3" borderId="0" xfId="0" applyNumberFormat="1" applyFont="1" applyFill="1"/>
    <xf numFmtId="0" fontId="3" fillId="0" borderId="0" xfId="0" applyFont="1"/>
    <xf numFmtId="2" fontId="1" fillId="0" borderId="0" xfId="0" applyNumberFormat="1" applyFont="1"/>
    <xf numFmtId="2" fontId="3" fillId="0" borderId="0" xfId="0" applyNumberFormat="1" applyFont="1"/>
    <xf numFmtId="0" fontId="8" fillId="0" borderId="0" xfId="0" applyFont="1"/>
    <xf numFmtId="164" fontId="1" fillId="4" borderId="4" xfId="0" applyNumberFormat="1" applyFont="1" applyFill="1" applyBorder="1" applyAlignment="1">
      <alignment horizontal="right"/>
    </xf>
    <xf numFmtId="164" fontId="1" fillId="4" borderId="0" xfId="0" applyNumberFormat="1" applyFont="1" applyFill="1"/>
    <xf numFmtId="164" fontId="1" fillId="4" borderId="0" xfId="0" applyNumberFormat="1" applyFont="1" applyFill="1" applyAlignment="1">
      <alignment horizontal="right"/>
    </xf>
    <xf numFmtId="164" fontId="8" fillId="3" borderId="0" xfId="0" applyNumberFormat="1" applyFont="1" applyFill="1" applyAlignment="1">
      <alignment horizontal="right"/>
    </xf>
    <xf numFmtId="164" fontId="1" fillId="3" borderId="0" xfId="0" applyNumberFormat="1" applyFont="1" applyFill="1"/>
    <xf numFmtId="164" fontId="3" fillId="3" borderId="0" xfId="0" applyNumberFormat="1" applyFont="1" applyFill="1"/>
    <xf numFmtId="164" fontId="3" fillId="4" borderId="4" xfId="0" applyNumberFormat="1" applyFont="1" applyFill="1" applyBorder="1"/>
    <xf numFmtId="164" fontId="3" fillId="4" borderId="0" xfId="0" applyNumberFormat="1" applyFont="1" applyFill="1"/>
    <xf numFmtId="164" fontId="3" fillId="4" borderId="6" xfId="0" applyNumberFormat="1" applyFont="1" applyFill="1" applyBorder="1"/>
    <xf numFmtId="164" fontId="3" fillId="4" borderId="7" xfId="0" applyNumberFormat="1" applyFont="1" applyFill="1" applyBorder="1"/>
    <xf numFmtId="164" fontId="8" fillId="3" borderId="2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3" borderId="0" xfId="0" applyNumberFormat="1" applyFont="1" applyFill="1"/>
    <xf numFmtId="2" fontId="1" fillId="3" borderId="2" xfId="0" applyNumberFormat="1" applyFont="1" applyFill="1" applyBorder="1"/>
    <xf numFmtId="2" fontId="5" fillId="3" borderId="0" xfId="0" applyNumberFormat="1" applyFont="1" applyFill="1"/>
    <xf numFmtId="0" fontId="0" fillId="0" borderId="0" xfId="0" applyAlignment="1">
      <alignment horizontal="right"/>
    </xf>
    <xf numFmtId="1" fontId="1" fillId="3" borderId="0" xfId="0" applyNumberFormat="1" applyFont="1" applyFill="1" applyAlignment="1">
      <alignment horizontal="right"/>
    </xf>
    <xf numFmtId="1" fontId="5" fillId="3" borderId="0" xfId="0" applyNumberFormat="1" applyFont="1" applyFill="1"/>
    <xf numFmtId="164" fontId="5" fillId="3" borderId="2" xfId="0" applyNumberFormat="1" applyFont="1" applyFill="1" applyBorder="1" applyAlignment="1">
      <alignment horizontal="right"/>
    </xf>
    <xf numFmtId="164" fontId="5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5" fillId="3" borderId="0" xfId="0" applyNumberFormat="1" applyFont="1" applyFill="1"/>
    <xf numFmtId="165" fontId="3" fillId="3" borderId="0" xfId="0" applyNumberFormat="1" applyFont="1" applyFill="1"/>
    <xf numFmtId="165" fontId="5" fillId="3" borderId="2" xfId="0" applyNumberFormat="1" applyFont="1" applyFill="1" applyBorder="1"/>
    <xf numFmtId="164" fontId="1" fillId="3" borderId="2" xfId="0" applyNumberFormat="1" applyFont="1" applyFill="1" applyBorder="1"/>
    <xf numFmtId="165" fontId="3" fillId="3" borderId="7" xfId="0" applyNumberFormat="1" applyFont="1" applyFill="1" applyBorder="1"/>
    <xf numFmtId="164" fontId="8" fillId="3" borderId="3" xfId="0" applyNumberFormat="1" applyFont="1" applyFill="1" applyBorder="1" applyAlignment="1">
      <alignment horizontal="right"/>
    </xf>
    <xf numFmtId="164" fontId="8" fillId="3" borderId="5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4" fontId="8" fillId="4" borderId="0" xfId="0" applyNumberFormat="1" applyFont="1" applyFill="1" applyAlignment="1">
      <alignment horizontal="right"/>
    </xf>
    <xf numFmtId="164" fontId="8" fillId="4" borderId="2" xfId="0" applyNumberFormat="1" applyFon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4" borderId="4" xfId="0" applyNumberFormat="1" applyFont="1" applyFill="1" applyBorder="1" applyAlignment="1">
      <alignment horizontal="right"/>
    </xf>
    <xf numFmtId="164" fontId="3" fillId="3" borderId="10" xfId="0" applyNumberFormat="1" applyFont="1" applyFill="1" applyBorder="1"/>
    <xf numFmtId="164" fontId="3" fillId="3" borderId="1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1" fillId="2" borderId="9" xfId="0" applyFont="1" applyFill="1" applyBorder="1"/>
    <xf numFmtId="0" fontId="1" fillId="2" borderId="10" xfId="0" applyFont="1" applyFill="1" applyBorder="1"/>
    <xf numFmtId="2" fontId="1" fillId="3" borderId="3" xfId="0" applyNumberFormat="1" applyFont="1" applyFill="1" applyBorder="1"/>
    <xf numFmtId="2" fontId="1" fillId="3" borderId="5" xfId="0" applyNumberFormat="1" applyFont="1" applyFill="1" applyBorder="1"/>
    <xf numFmtId="2" fontId="3" fillId="3" borderId="5" xfId="0" applyNumberFormat="1" applyFont="1" applyFill="1" applyBorder="1"/>
    <xf numFmtId="2" fontId="3" fillId="3" borderId="8" xfId="0" applyNumberFormat="1" applyFont="1" applyFill="1" applyBorder="1"/>
    <xf numFmtId="2" fontId="3" fillId="3" borderId="0" xfId="0" applyNumberFormat="1" applyFont="1" applyFill="1"/>
    <xf numFmtId="2" fontId="3" fillId="3" borderId="7" xfId="0" applyNumberFormat="1" applyFont="1" applyFill="1" applyBorder="1"/>
    <xf numFmtId="1" fontId="1" fillId="0" borderId="3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right"/>
    </xf>
    <xf numFmtId="164" fontId="10" fillId="4" borderId="2" xfId="0" applyNumberFormat="1" applyFont="1" applyFill="1" applyBorder="1"/>
    <xf numFmtId="2" fontId="10" fillId="3" borderId="3" xfId="0" applyNumberFormat="1" applyFont="1" applyFill="1" applyBorder="1"/>
    <xf numFmtId="164" fontId="10" fillId="4" borderId="0" xfId="0" applyNumberFormat="1" applyFont="1" applyFill="1" applyAlignment="1">
      <alignment horizontal="right"/>
    </xf>
    <xf numFmtId="2" fontId="10" fillId="3" borderId="0" xfId="0" applyNumberFormat="1" applyFont="1" applyFill="1"/>
    <xf numFmtId="164" fontId="10" fillId="4" borderId="4" xfId="0" applyNumberFormat="1" applyFont="1" applyFill="1" applyBorder="1" applyAlignment="1">
      <alignment horizontal="right"/>
    </xf>
    <xf numFmtId="164" fontId="10" fillId="4" borderId="0" xfId="0" applyNumberFormat="1" applyFont="1" applyFill="1"/>
    <xf numFmtId="2" fontId="10" fillId="3" borderId="5" xfId="0" applyNumberFormat="1" applyFont="1" applyFill="1" applyBorder="1"/>
    <xf numFmtId="2" fontId="8" fillId="3" borderId="0" xfId="0" applyNumberFormat="1" applyFont="1" applyFill="1"/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" fontId="8" fillId="3" borderId="0" xfId="0" applyNumberFormat="1" applyFont="1" applyFill="1"/>
    <xf numFmtId="1" fontId="8" fillId="3" borderId="0" xfId="0" applyNumberFormat="1" applyFont="1" applyFill="1" applyAlignment="1">
      <alignment horizontal="right"/>
    </xf>
    <xf numFmtId="4" fontId="10" fillId="0" borderId="0" xfId="0" applyNumberFormat="1" applyFont="1"/>
    <xf numFmtId="1" fontId="10" fillId="3" borderId="0" xfId="0" applyNumberFormat="1" applyFont="1" applyFill="1"/>
    <xf numFmtId="1" fontId="10" fillId="3" borderId="0" xfId="0" applyNumberFormat="1" applyFont="1" applyFill="1" applyAlignment="1">
      <alignment horizontal="right"/>
    </xf>
    <xf numFmtId="0" fontId="10" fillId="0" borderId="0" xfId="0" applyFont="1"/>
    <xf numFmtId="2" fontId="8" fillId="4" borderId="0" xfId="0" applyNumberFormat="1" applyFont="1" applyFill="1"/>
    <xf numFmtId="1" fontId="1" fillId="0" borderId="2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7" xfId="0" applyNumberFormat="1" applyFont="1" applyBorder="1" applyAlignment="1">
      <alignment horizontal="center"/>
    </xf>
    <xf numFmtId="2" fontId="8" fillId="3" borderId="5" xfId="0" applyNumberFormat="1" applyFont="1" applyFill="1" applyBorder="1"/>
    <xf numFmtId="2" fontId="6" fillId="4" borderId="0" xfId="0" applyNumberFormat="1" applyFont="1" applyFill="1"/>
    <xf numFmtId="2" fontId="6" fillId="4" borderId="4" xfId="0" applyNumberFormat="1" applyFont="1" applyFill="1" applyBorder="1" applyAlignment="1">
      <alignment horizontal="right"/>
    </xf>
    <xf numFmtId="166" fontId="1" fillId="0" borderId="5" xfId="1" applyNumberFormat="1" applyFont="1" applyBorder="1"/>
    <xf numFmtId="0" fontId="1" fillId="2" borderId="0" xfId="0" applyFont="1" applyFill="1" applyProtection="1">
      <protection locked="0"/>
    </xf>
    <xf numFmtId="0" fontId="0" fillId="2" borderId="0" xfId="0" applyFill="1" applyProtection="1">
      <protection locked="0"/>
    </xf>
    <xf numFmtId="1" fontId="1" fillId="2" borderId="0" xfId="0" applyNumberFormat="1" applyFont="1" applyFill="1" applyProtection="1">
      <protection locked="0"/>
    </xf>
    <xf numFmtId="0" fontId="0" fillId="0" borderId="0" xfId="0" applyProtection="1">
      <protection hidden="1"/>
    </xf>
    <xf numFmtId="164" fontId="1" fillId="3" borderId="0" xfId="0" applyNumberFormat="1" applyFont="1" applyFill="1" applyProtection="1">
      <protection hidden="1"/>
    </xf>
    <xf numFmtId="0" fontId="1" fillId="0" borderId="0" xfId="0" applyFont="1" applyProtection="1">
      <protection hidden="1"/>
    </xf>
    <xf numFmtId="0" fontId="0" fillId="4" borderId="2" xfId="0" applyFill="1" applyBorder="1" applyProtection="1"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4" xfId="0" applyFill="1" applyBorder="1" applyAlignment="1" applyProtection="1">
      <alignment horizontal="center" vertical="center"/>
      <protection hidden="1"/>
    </xf>
    <xf numFmtId="0" fontId="0" fillId="4" borderId="5" xfId="0" applyFill="1" applyBorder="1" applyAlignment="1" applyProtection="1">
      <alignment horizontal="center" vertical="center"/>
      <protection hidden="1"/>
    </xf>
    <xf numFmtId="0" fontId="0" fillId="4" borderId="7" xfId="0" applyFill="1" applyBorder="1" applyAlignment="1" applyProtection="1">
      <alignment horizontal="center" vertical="center"/>
      <protection hidden="1"/>
    </xf>
    <xf numFmtId="0" fontId="1" fillId="4" borderId="8" xfId="0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 applyAlignment="1" applyProtection="1">
      <alignment horizontal="center" vertical="center"/>
      <protection hidden="1"/>
    </xf>
    <xf numFmtId="164" fontId="0" fillId="3" borderId="1" xfId="0" applyNumberFormat="1" applyFill="1" applyBorder="1" applyAlignment="1" applyProtection="1">
      <alignment horizontal="center" vertical="center"/>
      <protection hidden="1"/>
    </xf>
    <xf numFmtId="164" fontId="0" fillId="3" borderId="2" xfId="0" applyNumberFormat="1" applyFill="1" applyBorder="1" applyAlignment="1" applyProtection="1">
      <alignment horizontal="center" vertical="center"/>
      <protection hidden="1"/>
    </xf>
    <xf numFmtId="164" fontId="0" fillId="5" borderId="3" xfId="0" applyNumberFormat="1" applyFill="1" applyBorder="1" applyAlignment="1" applyProtection="1">
      <alignment horizontal="center" vertical="center"/>
      <protection hidden="1"/>
    </xf>
    <xf numFmtId="164" fontId="0" fillId="3" borderId="4" xfId="0" applyNumberFormat="1" applyFill="1" applyBorder="1" applyAlignment="1" applyProtection="1">
      <alignment horizontal="center" vertical="center"/>
      <protection hidden="1"/>
    </xf>
    <xf numFmtId="164" fontId="0" fillId="3" borderId="0" xfId="0" applyNumberFormat="1" applyFill="1" applyAlignment="1" applyProtection="1">
      <alignment horizontal="center" vertical="center"/>
      <protection hidden="1"/>
    </xf>
    <xf numFmtId="164" fontId="0" fillId="5" borderId="5" xfId="0" applyNumberFormat="1" applyFill="1" applyBorder="1" applyAlignment="1" applyProtection="1">
      <alignment horizontal="center" vertical="center"/>
      <protection hidden="1"/>
    </xf>
    <xf numFmtId="2" fontId="1" fillId="3" borderId="0" xfId="0" applyNumberFormat="1" applyFont="1" applyFill="1" applyProtection="1">
      <protection hidden="1"/>
    </xf>
    <xf numFmtId="1" fontId="2" fillId="3" borderId="0" xfId="0" applyNumberFormat="1" applyFont="1" applyFill="1" applyProtection="1">
      <protection hidden="1"/>
    </xf>
    <xf numFmtId="164" fontId="6" fillId="3" borderId="0" xfId="0" applyNumberFormat="1" applyFont="1" applyFill="1" applyProtection="1">
      <protection hidden="1"/>
    </xf>
    <xf numFmtId="164" fontId="0" fillId="3" borderId="6" xfId="0" applyNumberFormat="1" applyFill="1" applyBorder="1" applyAlignment="1" applyProtection="1">
      <alignment horizontal="center" vertical="center"/>
      <protection hidden="1"/>
    </xf>
    <xf numFmtId="164" fontId="0" fillId="3" borderId="7" xfId="0" applyNumberFormat="1" applyFill="1" applyBorder="1" applyAlignment="1" applyProtection="1">
      <alignment horizontal="center" vertical="center"/>
      <protection hidden="1"/>
    </xf>
    <xf numFmtId="164" fontId="0" fillId="5" borderId="8" xfId="0" applyNumberForma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3" borderId="0" xfId="0" applyNumberFormat="1" applyFill="1" applyProtection="1">
      <protection hidden="1"/>
    </xf>
    <xf numFmtId="1" fontId="0" fillId="3" borderId="0" xfId="0" applyNumberFormat="1" applyFill="1" applyProtection="1">
      <protection hidden="1"/>
    </xf>
    <xf numFmtId="0" fontId="2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right"/>
      <protection hidden="1"/>
    </xf>
    <xf numFmtId="0" fontId="1" fillId="3" borderId="0" xfId="0" applyFont="1" applyFill="1" applyProtection="1">
      <protection hidden="1"/>
    </xf>
    <xf numFmtId="0" fontId="4" fillId="3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6" fillId="3" borderId="0" xfId="0" applyFont="1" applyFill="1" applyProtection="1">
      <protection hidden="1"/>
    </xf>
    <xf numFmtId="0" fontId="6" fillId="4" borderId="9" xfId="0" applyFont="1" applyFill="1" applyBorder="1" applyAlignment="1" applyProtection="1">
      <alignment horizontal="center"/>
      <protection hidden="1"/>
    </xf>
    <xf numFmtId="0" fontId="6" fillId="4" borderId="10" xfId="0" applyFont="1" applyFill="1" applyBorder="1" applyAlignment="1" applyProtection="1">
      <alignment horizontal="center" vertical="center"/>
      <protection hidden="1"/>
    </xf>
    <xf numFmtId="0" fontId="6" fillId="4" borderId="11" xfId="0" applyFont="1" applyFill="1" applyBorder="1" applyAlignment="1" applyProtection="1">
      <alignment horizontal="center" vertical="center"/>
      <protection hidden="1"/>
    </xf>
    <xf numFmtId="164" fontId="6" fillId="4" borderId="9" xfId="0" applyNumberFormat="1" applyFont="1" applyFill="1" applyBorder="1" applyAlignment="1" applyProtection="1">
      <alignment horizontal="center"/>
      <protection hidden="1"/>
    </xf>
    <xf numFmtId="164" fontId="6" fillId="4" borderId="10" xfId="0" applyNumberFormat="1" applyFont="1" applyFill="1" applyBorder="1" applyAlignment="1" applyProtection="1">
      <alignment horizontal="center"/>
      <protection hidden="1"/>
    </xf>
    <xf numFmtId="164" fontId="6" fillId="4" borderId="11" xfId="0" applyNumberFormat="1" applyFont="1" applyFill="1" applyBorder="1" applyAlignment="1" applyProtection="1">
      <alignment horizontal="center"/>
      <protection hidden="1"/>
    </xf>
    <xf numFmtId="0" fontId="5" fillId="3" borderId="0" xfId="0" applyFont="1" applyFill="1"/>
    <xf numFmtId="164" fontId="10" fillId="4" borderId="6" xfId="0" applyNumberFormat="1" applyFont="1" applyFill="1" applyBorder="1" applyAlignment="1">
      <alignment horizontal="right"/>
    </xf>
    <xf numFmtId="164" fontId="8" fillId="4" borderId="6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2" fontId="6" fillId="3" borderId="3" xfId="0" applyNumberFormat="1" applyFont="1" applyFill="1" applyBorder="1"/>
    <xf numFmtId="164" fontId="6" fillId="4" borderId="4" xfId="0" applyNumberFormat="1" applyFont="1" applyFill="1" applyBorder="1" applyAlignment="1">
      <alignment horizontal="right"/>
    </xf>
    <xf numFmtId="2" fontId="6" fillId="3" borderId="5" xfId="0" applyNumberFormat="1" applyFont="1" applyFill="1" applyBorder="1"/>
    <xf numFmtId="164" fontId="6" fillId="4" borderId="6" xfId="0" applyNumberFormat="1" applyFont="1" applyFill="1" applyBorder="1" applyAlignment="1">
      <alignment horizontal="right"/>
    </xf>
    <xf numFmtId="2" fontId="6" fillId="3" borderId="8" xfId="0" applyNumberFormat="1" applyFont="1" applyFill="1" applyBorder="1"/>
    <xf numFmtId="164" fontId="3" fillId="0" borderId="0" xfId="0" applyNumberFormat="1" applyFont="1"/>
    <xf numFmtId="164" fontId="1" fillId="3" borderId="1" xfId="0" applyNumberFormat="1" applyFont="1" applyFill="1" applyBorder="1"/>
    <xf numFmtId="164" fontId="1" fillId="3" borderId="4" xfId="0" applyNumberFormat="1" applyFont="1" applyFill="1" applyBorder="1"/>
    <xf numFmtId="164" fontId="1" fillId="3" borderId="6" xfId="0" applyNumberFormat="1" applyFont="1" applyFill="1" applyBorder="1"/>
    <xf numFmtId="164" fontId="10" fillId="4" borderId="7" xfId="0" applyNumberFormat="1" applyFont="1" applyFill="1" applyBorder="1"/>
    <xf numFmtId="2" fontId="10" fillId="3" borderId="8" xfId="0" applyNumberFormat="1" applyFont="1" applyFill="1" applyBorder="1"/>
    <xf numFmtId="164" fontId="8" fillId="4" borderId="2" xfId="0" applyNumberFormat="1" applyFont="1" applyFill="1" applyBorder="1"/>
    <xf numFmtId="2" fontId="8" fillId="3" borderId="3" xfId="0" applyNumberFormat="1" applyFont="1" applyFill="1" applyBorder="1"/>
    <xf numFmtId="164" fontId="8" fillId="4" borderId="0" xfId="0" applyNumberFormat="1" applyFont="1" applyFill="1"/>
    <xf numFmtId="164" fontId="8" fillId="4" borderId="7" xfId="0" applyNumberFormat="1" applyFont="1" applyFill="1" applyBorder="1"/>
    <xf numFmtId="2" fontId="8" fillId="3" borderId="8" xfId="0" applyNumberFormat="1" applyFont="1" applyFill="1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4" borderId="2" xfId="0" applyNumberFormat="1" applyFont="1" applyFill="1" applyBorder="1"/>
    <xf numFmtId="164" fontId="6" fillId="4" borderId="0" xfId="0" applyNumberFormat="1" applyFont="1" applyFill="1"/>
    <xf numFmtId="164" fontId="6" fillId="4" borderId="7" xfId="0" applyNumberFormat="1" applyFont="1" applyFill="1" applyBorder="1"/>
    <xf numFmtId="1" fontId="0" fillId="3" borderId="9" xfId="0" applyNumberFormat="1" applyFill="1" applyBorder="1" applyAlignment="1" applyProtection="1">
      <alignment horizontal="center" vertical="center"/>
      <protection hidden="1"/>
    </xf>
    <xf numFmtId="1" fontId="0" fillId="3" borderId="10" xfId="0" applyNumberFormat="1" applyFill="1" applyBorder="1" applyAlignment="1" applyProtection="1">
      <alignment horizontal="center" vertical="center"/>
      <protection hidden="1"/>
    </xf>
    <xf numFmtId="1" fontId="0" fillId="3" borderId="11" xfId="0" applyNumberForma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locked="0" hidden="1"/>
    </xf>
    <xf numFmtId="166" fontId="0" fillId="3" borderId="0" xfId="1" applyNumberFormat="1" applyFont="1" applyFill="1" applyAlignment="1" applyProtection="1">
      <alignment horizontal="right"/>
      <protection hidden="1"/>
    </xf>
    <xf numFmtId="165" fontId="5" fillId="3" borderId="3" xfId="0" applyNumberFormat="1" applyFont="1" applyFill="1" applyBorder="1"/>
    <xf numFmtId="165" fontId="5" fillId="3" borderId="5" xfId="0" applyNumberFormat="1" applyFont="1" applyFill="1" applyBorder="1"/>
    <xf numFmtId="165" fontId="3" fillId="3" borderId="5" xfId="0" applyNumberFormat="1" applyFont="1" applyFill="1" applyBorder="1"/>
    <xf numFmtId="165" fontId="3" fillId="3" borderId="8" xfId="0" applyNumberFormat="1" applyFont="1" applyFill="1" applyBorder="1"/>
    <xf numFmtId="164" fontId="10" fillId="4" borderId="2" xfId="0" applyNumberFormat="1" applyFont="1" applyFill="1" applyBorder="1" applyAlignment="1">
      <alignment horizontal="right"/>
    </xf>
    <xf numFmtId="164" fontId="10" fillId="4" borderId="7" xfId="0" applyNumberFormat="1" applyFont="1" applyFill="1" applyBorder="1" applyAlignment="1">
      <alignment horizontal="right"/>
    </xf>
    <xf numFmtId="0" fontId="1" fillId="4" borderId="0" xfId="0" applyFont="1" applyFill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center" vertical="center"/>
      <protection hidden="1"/>
    </xf>
    <xf numFmtId="167" fontId="0" fillId="3" borderId="0" xfId="0" applyNumberFormat="1" applyFill="1" applyProtection="1">
      <protection hidden="1"/>
    </xf>
    <xf numFmtId="168" fontId="0" fillId="3" borderId="0" xfId="0" applyNumberFormat="1" applyFill="1" applyProtection="1">
      <protection hidden="1"/>
    </xf>
    <xf numFmtId="0" fontId="1" fillId="3" borderId="0" xfId="0" applyFont="1" applyFill="1"/>
    <xf numFmtId="0" fontId="0" fillId="3" borderId="0" xfId="0" applyFill="1" applyAlignment="1" applyProtection="1">
      <alignment horizontal="left" indent="1"/>
      <protection hidden="1"/>
    </xf>
    <xf numFmtId="0" fontId="1" fillId="3" borderId="0" xfId="0" applyFont="1" applyFill="1" applyAlignment="1" applyProtection="1">
      <alignment horizontal="left" indent="1"/>
      <protection hidden="1"/>
    </xf>
    <xf numFmtId="0" fontId="0" fillId="2" borderId="0" xfId="1" applyNumberFormat="1" applyFont="1" applyFill="1" applyBorder="1" applyProtection="1">
      <protection locked="0"/>
    </xf>
    <xf numFmtId="0" fontId="2" fillId="4" borderId="0" xfId="0" applyFont="1" applyFill="1" applyProtection="1">
      <protection hidden="1"/>
    </xf>
    <xf numFmtId="0" fontId="0" fillId="4" borderId="0" xfId="0" applyFill="1" applyAlignment="1" applyProtection="1">
      <alignment horizontal="left" indent="1"/>
      <protection hidden="1"/>
    </xf>
    <xf numFmtId="0" fontId="1" fillId="4" borderId="0" xfId="0" applyFont="1" applyFill="1" applyProtection="1">
      <protection hidden="1"/>
    </xf>
    <xf numFmtId="2" fontId="1" fillId="4" borderId="0" xfId="0" applyNumberFormat="1" applyFont="1" applyFill="1" applyProtection="1">
      <protection hidden="1"/>
    </xf>
    <xf numFmtId="164" fontId="1" fillId="4" borderId="0" xfId="0" applyNumberFormat="1" applyFont="1" applyFill="1" applyProtection="1">
      <protection hidden="1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/>
    <xf numFmtId="4" fontId="0" fillId="0" borderId="0" xfId="0" applyNumberFormat="1"/>
    <xf numFmtId="164" fontId="0" fillId="3" borderId="3" xfId="0" applyNumberFormat="1" applyFill="1" applyBorder="1" applyAlignment="1" applyProtection="1">
      <alignment horizontal="center" vertical="center"/>
      <protection hidden="1"/>
    </xf>
    <xf numFmtId="164" fontId="0" fillId="3" borderId="5" xfId="0" applyNumberFormat="1" applyFill="1" applyBorder="1" applyAlignment="1" applyProtection="1">
      <alignment horizontal="center" vertical="center"/>
      <protection hidden="1"/>
    </xf>
    <xf numFmtId="164" fontId="0" fillId="3" borderId="8" xfId="0" applyNumberForma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indent="1"/>
      <protection hidden="1"/>
    </xf>
    <xf numFmtId="4" fontId="2" fillId="0" borderId="0" xfId="0" applyNumberFormat="1" applyFont="1"/>
    <xf numFmtId="2" fontId="0" fillId="3" borderId="0" xfId="0" applyNumberFormat="1" applyFill="1"/>
    <xf numFmtId="0" fontId="4" fillId="3" borderId="0" xfId="0" applyFont="1" applyFill="1" applyAlignment="1" applyProtection="1">
      <alignment horizontal="right"/>
      <protection hidden="1"/>
    </xf>
    <xf numFmtId="0" fontId="16" fillId="3" borderId="0" xfId="0" applyFont="1" applyFill="1" applyAlignment="1" applyProtection="1">
      <alignment horizontal="right"/>
      <protection hidden="1"/>
    </xf>
    <xf numFmtId="0" fontId="17" fillId="3" borderId="0" xfId="0" applyFont="1" applyFill="1" applyAlignment="1" applyProtection="1">
      <alignment horizontal="right"/>
      <protection hidden="1"/>
    </xf>
    <xf numFmtId="0" fontId="6" fillId="3" borderId="0" xfId="0" applyFont="1" applyFill="1" applyAlignment="1" applyProtection="1">
      <alignment horizontal="left" indent="1"/>
      <protection hidden="1"/>
    </xf>
    <xf numFmtId="4" fontId="15" fillId="3" borderId="0" xfId="0" applyNumberFormat="1" applyFont="1" applyFill="1" applyAlignment="1" applyProtection="1">
      <alignment horizontal="right"/>
      <protection hidden="1"/>
    </xf>
    <xf numFmtId="0" fontId="14" fillId="3" borderId="0" xfId="0" applyFont="1" applyFill="1" applyAlignment="1" applyProtection="1">
      <alignment horizontal="right"/>
      <protection hidden="1"/>
    </xf>
    <xf numFmtId="0" fontId="15" fillId="3" borderId="0" xfId="0" applyFont="1" applyFill="1" applyAlignment="1" applyProtection="1">
      <alignment horizontal="left" indent="1"/>
      <protection hidden="1"/>
    </xf>
    <xf numFmtId="0" fontId="18" fillId="3" borderId="0" xfId="0" applyFont="1" applyFill="1" applyAlignment="1" applyProtection="1">
      <alignment horizontal="left" indent="1"/>
      <protection hidden="1"/>
    </xf>
    <xf numFmtId="2" fontId="18" fillId="3" borderId="0" xfId="0" applyNumberFormat="1" applyFont="1" applyFill="1" applyAlignment="1" applyProtection="1">
      <alignment horizontal="right"/>
      <protection hidden="1"/>
    </xf>
    <xf numFmtId="2" fontId="18" fillId="3" borderId="0" xfId="0" applyNumberFormat="1" applyFont="1" applyFill="1" applyProtection="1">
      <protection hidden="1"/>
    </xf>
    <xf numFmtId="169" fontId="2" fillId="3" borderId="0" xfId="0" applyNumberFormat="1" applyFont="1" applyFill="1" applyProtection="1">
      <protection hidden="1"/>
    </xf>
    <xf numFmtId="2" fontId="0" fillId="3" borderId="2" xfId="0" applyNumberFormat="1" applyFill="1" applyBorder="1" applyAlignment="1" applyProtection="1">
      <alignment horizontal="center" vertical="center"/>
      <protection hidden="1"/>
    </xf>
    <xf numFmtId="2" fontId="0" fillId="3" borderId="0" xfId="0" applyNumberFormat="1" applyFill="1" applyAlignment="1" applyProtection="1">
      <alignment horizontal="center" vertical="center"/>
      <protection hidden="1"/>
    </xf>
    <xf numFmtId="2" fontId="0" fillId="3" borderId="7" xfId="0" applyNumberFormat="1" applyFill="1" applyBorder="1" applyAlignment="1" applyProtection="1">
      <alignment horizontal="center" vertical="center"/>
      <protection hidden="1"/>
    </xf>
    <xf numFmtId="2" fontId="0" fillId="3" borderId="1" xfId="0" applyNumberFormat="1" applyFill="1" applyBorder="1" applyAlignment="1" applyProtection="1">
      <alignment horizontal="center" vertical="center"/>
      <protection hidden="1"/>
    </xf>
    <xf numFmtId="2" fontId="0" fillId="3" borderId="4" xfId="0" applyNumberFormat="1" applyFill="1" applyBorder="1" applyAlignment="1" applyProtection="1">
      <alignment horizontal="center" vertical="center"/>
      <protection hidden="1"/>
    </xf>
    <xf numFmtId="2" fontId="0" fillId="3" borderId="6" xfId="0" applyNumberFormat="1" applyFill="1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 indent="2"/>
      <protection hidden="1"/>
    </xf>
    <xf numFmtId="0" fontId="12" fillId="0" borderId="0" xfId="2" applyAlignment="1" applyProtection="1">
      <protection locked="0"/>
    </xf>
    <xf numFmtId="2" fontId="0" fillId="5" borderId="5" xfId="0" applyNumberFormat="1" applyFill="1" applyBorder="1" applyAlignment="1" applyProtection="1">
      <alignment horizontal="center" vertical="center"/>
      <protection hidden="1"/>
    </xf>
    <xf numFmtId="0" fontId="14" fillId="4" borderId="2" xfId="0" applyFont="1" applyFill="1" applyBorder="1" applyAlignment="1" applyProtection="1">
      <alignment horizontal="center" vertical="center"/>
      <protection hidden="1"/>
    </xf>
    <xf numFmtId="0" fontId="14" fillId="4" borderId="3" xfId="0" applyFont="1" applyFill="1" applyBorder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0" fillId="4" borderId="3" xfId="0" applyFill="1" applyBorder="1" applyAlignment="1" applyProtection="1">
      <alignment horizontal="center" vertical="center"/>
      <protection hidden="1"/>
    </xf>
    <xf numFmtId="0" fontId="0" fillId="4" borderId="4" xfId="0" applyFill="1" applyBorder="1" applyAlignment="1" applyProtection="1">
      <alignment horizontal="center" vertical="center"/>
      <protection hidden="1"/>
    </xf>
    <xf numFmtId="0" fontId="0" fillId="4" borderId="5" xfId="0" applyFill="1" applyBorder="1" applyAlignment="1" applyProtection="1">
      <alignment horizontal="center" vertical="center"/>
      <protection hidden="1"/>
    </xf>
    <xf numFmtId="0" fontId="0" fillId="4" borderId="6" xfId="0" applyFill="1" applyBorder="1" applyAlignment="1" applyProtection="1">
      <alignment horizontal="center" vertical="center"/>
      <protection hidden="1"/>
    </xf>
    <xf numFmtId="0" fontId="0" fillId="4" borderId="8" xfId="0" applyFill="1" applyBorder="1" applyAlignment="1" applyProtection="1">
      <alignment horizontal="center" vertical="center"/>
      <protection hidden="1"/>
    </xf>
    <xf numFmtId="0" fontId="15" fillId="4" borderId="1" xfId="0" applyFont="1" applyFill="1" applyBorder="1" applyAlignment="1" applyProtection="1">
      <alignment horizontal="center" vertical="center"/>
      <protection hidden="1"/>
    </xf>
    <xf numFmtId="0" fontId="15" fillId="4" borderId="2" xfId="0" applyFont="1" applyFill="1" applyBorder="1" applyAlignment="1" applyProtection="1">
      <alignment horizontal="center" vertical="center"/>
      <protection hidden="1"/>
    </xf>
    <xf numFmtId="0" fontId="15" fillId="4" borderId="3" xfId="0" applyFont="1" applyFill="1" applyBorder="1" applyAlignment="1" applyProtection="1">
      <alignment horizontal="center" vertical="center"/>
      <protection hidden="1"/>
    </xf>
    <xf numFmtId="4" fontId="2" fillId="3" borderId="0" xfId="0" applyNumberFormat="1" applyFont="1" applyFill="1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4" borderId="2" xfId="0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 applyProtection="1">
      <protection hidden="1"/>
    </xf>
    <xf numFmtId="0" fontId="0" fillId="0" borderId="0" xfId="0" applyAlignment="1"/>
    <xf numFmtId="0" fontId="11" fillId="0" borderId="0" xfId="0" applyFont="1" applyAlignment="1" applyProtection="1">
      <protection hidden="1"/>
    </xf>
    <xf numFmtId="0" fontId="13" fillId="0" borderId="0" xfId="0" applyFont="1" applyAlignment="1"/>
    <xf numFmtId="0" fontId="7" fillId="0" borderId="0" xfId="0" applyFont="1" applyAlignment="1" applyProtection="1">
      <protection locked="0"/>
    </xf>
    <xf numFmtId="0" fontId="0" fillId="0" borderId="0" xfId="0" applyAlignment="1" applyProtection="1">
      <protection locked="0"/>
    </xf>
  </cellXfs>
  <cellStyles count="3">
    <cellStyle name="Hyperlink" xfId="2" builtinId="8"/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calc!$M$40</c:f>
              <c:strCache>
                <c:ptCount val="1"/>
                <c:pt idx="0">
                  <c:v>ROW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calc!$M$43:$M$54</c:f>
              <c:numCache>
                <c:formatCode>0.0</c:formatCode>
                <c:ptCount val="12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</c:numCache>
            </c:numRef>
          </c:xVal>
          <c:yVal>
            <c:numRef>
              <c:f>calc!$N$43:$N$54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-1</c:v>
                </c:pt>
                <c:pt idx="7">
                  <c:v>-3</c:v>
                </c:pt>
                <c:pt idx="8">
                  <c:v>-5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14-4092-BA9C-5506B26BF7AC}"/>
            </c:ext>
          </c:extLst>
        </c:ser>
        <c:ser>
          <c:idx val="1"/>
          <c:order val="1"/>
          <c:tx>
            <c:strRef>
              <c:f>calc!$P$40</c:f>
              <c:strCache>
                <c:ptCount val="1"/>
                <c:pt idx="0">
                  <c:v>ROW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tx1"/>
                </a:solidFill>
              </a:ln>
              <a:effectLst/>
            </c:spPr>
          </c:marker>
          <c:xVal>
            <c:numRef>
              <c:f>calc!$P$43:$P$54</c:f>
              <c:numCache>
                <c:formatCode>0.0</c:formatCode>
                <c:ptCount val="12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-50</c:v>
                </c:pt>
                <c:pt idx="10">
                  <c:v>-50</c:v>
                </c:pt>
                <c:pt idx="11">
                  <c:v>-50</c:v>
                </c:pt>
              </c:numCache>
            </c:numRef>
          </c:xVal>
          <c:yVal>
            <c:numRef>
              <c:f>calc!$Q$43:$Q$54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5.6786946245480463</c:v>
                </c:pt>
                <c:pt idx="4">
                  <c:v>3.4072167747288273</c:v>
                </c:pt>
                <c:pt idx="5">
                  <c:v>1.1357389249096093</c:v>
                </c:pt>
                <c:pt idx="6">
                  <c:v>-1.1357389249096093</c:v>
                </c:pt>
                <c:pt idx="7">
                  <c:v>-3.4072167747288273</c:v>
                </c:pt>
                <c:pt idx="8">
                  <c:v>-5.6786946245480463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4-4092-BA9C-5506B26B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292792"/>
        <c:axId val="407444488"/>
      </c:scatterChart>
      <c:valAx>
        <c:axId val="406292792"/>
        <c:scaling>
          <c:orientation val="minMax"/>
          <c:max val="2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m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44488"/>
        <c:crosses val="autoZero"/>
        <c:crossBetween val="midCat"/>
        <c:majorUnit val="10"/>
      </c:valAx>
      <c:valAx>
        <c:axId val="407444488"/>
        <c:scaling>
          <c:orientation val="minMax"/>
          <c:max val="2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m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292792"/>
        <c:crosses val="autoZero"/>
        <c:crossBetween val="midCat"/>
        <c:majorUnit val="10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146050</xdr:colOff>
      <xdr:row>20</xdr:row>
      <xdr:rowOff>12700</xdr:rowOff>
    </xdr:from>
    <xdr:to>
      <xdr:col>10</xdr:col>
      <xdr:colOff>603250</xdr:colOff>
      <xdr:row>31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AE0F1BB-C25C-4BE1-BEE7-D79E02CF6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2:W31"/>
  <sheetViews>
    <sheetView tabSelected="1" zoomScale="150" zoomScaleNormal="150" workbookViewId="0">
      <selection activeCell="N14" sqref="N14"/>
    </sheetView>
  </sheetViews>
  <sheetFormatPr baseColWidth="10" defaultColWidth="8.6640625" defaultRowHeight="15" x14ac:dyDescent="0.2"/>
  <cols>
    <col min="1" max="1" width="8.6640625" style="109"/>
    <col min="2" max="2" width="3.1640625" style="109" customWidth="1"/>
    <col min="3" max="3" width="3.1640625" style="131" customWidth="1"/>
    <col min="4" max="11" width="8.6640625" style="109"/>
    <col min="12" max="12" width="6.33203125" style="109" customWidth="1"/>
    <col min="13" max="13" width="17" style="109" customWidth="1"/>
    <col min="14" max="15" width="7.5" style="109" customWidth="1"/>
    <col min="16" max="16" width="2.33203125" style="109" customWidth="1"/>
    <col min="17" max="17" width="5.5" style="109" customWidth="1"/>
    <col min="18" max="18" width="16.5" style="109" customWidth="1"/>
    <col min="19" max="19" width="6.5" style="109" customWidth="1"/>
    <col min="20" max="20" width="4.83203125" style="109" customWidth="1"/>
    <col min="21" max="16384" width="8.6640625" style="109"/>
  </cols>
  <sheetData>
    <row r="2" spans="2:23" x14ac:dyDescent="0.2">
      <c r="B2" s="228" t="s">
        <v>53</v>
      </c>
      <c r="C2" s="228"/>
      <c r="D2" s="228"/>
      <c r="E2" s="228"/>
      <c r="F2" s="228"/>
      <c r="H2" s="238" t="s">
        <v>88</v>
      </c>
      <c r="I2" s="239"/>
      <c r="J2" s="107">
        <v>2</v>
      </c>
      <c r="K2" s="209" t="s">
        <v>90</v>
      </c>
      <c r="M2" s="135" t="s">
        <v>47</v>
      </c>
      <c r="N2" s="106">
        <v>20</v>
      </c>
      <c r="O2" s="135" t="s">
        <v>11</v>
      </c>
      <c r="P2" s="135"/>
    </row>
    <row r="3" spans="2:23" x14ac:dyDescent="0.2">
      <c r="B3" s="228"/>
      <c r="C3" s="228"/>
      <c r="D3" s="228"/>
      <c r="E3" s="228"/>
      <c r="F3" s="228"/>
      <c r="H3" s="135"/>
      <c r="I3" s="135"/>
      <c r="J3" s="140"/>
      <c r="K3" s="209" t="s">
        <v>89</v>
      </c>
      <c r="M3" s="135" t="s">
        <v>48</v>
      </c>
      <c r="N3" s="110">
        <f>331.5+0.606*temperature</f>
        <v>343.62</v>
      </c>
      <c r="O3" s="137" t="s">
        <v>10</v>
      </c>
      <c r="P3" s="135"/>
    </row>
    <row r="5" spans="2:23" x14ac:dyDescent="0.2">
      <c r="B5" s="229" t="s">
        <v>34</v>
      </c>
      <c r="C5" s="230"/>
      <c r="D5" s="112"/>
      <c r="E5" s="235" t="s">
        <v>18</v>
      </c>
      <c r="F5" s="236"/>
      <c r="G5" s="237"/>
      <c r="H5" s="226" t="s">
        <v>19</v>
      </c>
      <c r="I5" s="226"/>
      <c r="J5" s="227"/>
      <c r="K5" s="141" t="s">
        <v>74</v>
      </c>
      <c r="M5" s="134" t="s">
        <v>45</v>
      </c>
      <c r="N5" s="135"/>
      <c r="O5" s="135"/>
      <c r="P5" s="135"/>
      <c r="R5" s="134" t="s">
        <v>54</v>
      </c>
      <c r="S5" s="135"/>
      <c r="T5" s="135"/>
    </row>
    <row r="6" spans="2:23" x14ac:dyDescent="0.2">
      <c r="B6" s="231"/>
      <c r="C6" s="232"/>
      <c r="D6" s="113" t="s">
        <v>44</v>
      </c>
      <c r="E6" s="114" t="s">
        <v>32</v>
      </c>
      <c r="F6" s="113" t="s">
        <v>31</v>
      </c>
      <c r="G6" s="115" t="s">
        <v>9</v>
      </c>
      <c r="H6" s="113" t="s">
        <v>32</v>
      </c>
      <c r="I6" s="113" t="s">
        <v>31</v>
      </c>
      <c r="J6" s="115" t="s">
        <v>9</v>
      </c>
      <c r="K6" s="142" t="s">
        <v>73</v>
      </c>
      <c r="M6" s="189" t="s">
        <v>24</v>
      </c>
      <c r="N6" s="106">
        <v>6</v>
      </c>
      <c r="O6" s="138" t="str">
        <f>IF(Spkr_in_row1&gt;12,"the limit is 12","")</f>
        <v/>
      </c>
      <c r="P6" s="135"/>
      <c r="R6" s="189" t="s">
        <v>32</v>
      </c>
      <c r="S6" s="107">
        <v>0</v>
      </c>
      <c r="T6" s="135" t="s">
        <v>1</v>
      </c>
      <c r="W6" s="111"/>
    </row>
    <row r="7" spans="2:23" x14ac:dyDescent="0.2">
      <c r="B7" s="233"/>
      <c r="C7" s="234"/>
      <c r="D7" s="113" t="s">
        <v>20</v>
      </c>
      <c r="E7" s="114" t="s">
        <v>15</v>
      </c>
      <c r="F7" s="113" t="s">
        <v>15</v>
      </c>
      <c r="G7" s="118" t="s">
        <v>2</v>
      </c>
      <c r="H7" s="116" t="s">
        <v>15</v>
      </c>
      <c r="I7" s="116" t="s">
        <v>15</v>
      </c>
      <c r="J7" s="117" t="s">
        <v>2</v>
      </c>
      <c r="K7" s="143" t="s">
        <v>68</v>
      </c>
      <c r="M7" s="189" t="s">
        <v>16</v>
      </c>
      <c r="N7" s="107">
        <v>57</v>
      </c>
      <c r="O7" s="135" t="str">
        <f>IF(AND(ArrayAngle&gt;120,MainSwtch=2),"don’t go over 120dg","dg")</f>
        <v>dg</v>
      </c>
      <c r="P7" s="135"/>
      <c r="R7" s="189" t="s">
        <v>31</v>
      </c>
      <c r="S7" s="107">
        <v>0</v>
      </c>
      <c r="T7" s="135" t="s">
        <v>1</v>
      </c>
      <c r="W7" s="111"/>
    </row>
    <row r="8" spans="2:23" x14ac:dyDescent="0.2">
      <c r="B8" s="231" t="s">
        <v>35</v>
      </c>
      <c r="C8" s="184" t="str">
        <f>IF(calc!$Z7=1,calc!C7,"")</f>
        <v/>
      </c>
      <c r="D8" s="173" t="str">
        <f>IF(calc!$Z7=1,calc!D25,"")</f>
        <v/>
      </c>
      <c r="E8" s="217" t="str">
        <f>IF(calc!$Z7=1,(IF(ArrayAngle&lt;=0,calc!F25,IF(MainSwtch=1,calc!L25,(IF(MainSwtch=2,calc!S25,"ehm?"))))),"")</f>
        <v/>
      </c>
      <c r="F8" s="217" t="str">
        <f>IF(calc!$Z7=1,(IF(ArrayAngle&lt;=0,calc!G25,IF(MainSwtch=1,calc!M25,(IF(MainSwtch=2,calc!T25,"ehm?"))))),"")</f>
        <v/>
      </c>
      <c r="G8" s="121" t="str">
        <f>IF(calc!$Z7=1,(IF(ArrayAngle&lt;=0,calc!H25,IF(MainSwtch=1,calc!N25,(IF(MainSwtch=2,calc!U25,"ehm?"))))),"")</f>
        <v/>
      </c>
      <c r="H8" s="220" t="str">
        <f>IF(calc!$Z7=1,(IF(ArrayAngle&lt;=0,calc!I25,IF(MainSwtch=1,calc!O25,(IF(MainSwtch=2,calc!V25,"ehm?"))))),"")</f>
        <v/>
      </c>
      <c r="I8" s="217" t="str">
        <f>IF(calc!$Z7=1,(IF(ArrayAngle&lt;=0,calc!J25,IF(MainSwtch=1,calc!P25,(IF(MainSwtch=2,calc!W25,"ehm?"))))),"")</f>
        <v/>
      </c>
      <c r="J8" s="121" t="str">
        <f>IF(calc!$Z7=1,(IF(ArrayAngle&lt;=0,calc!K25,IF(MainSwtch=1,calc!Q25,(IF(MainSwtch=2,calc!X25,"ehm?"))))),"")</f>
        <v/>
      </c>
      <c r="K8" s="144" t="str">
        <f>IF(calc!$Z7=1,IF(OR(ArrayAngle&lt;=0,MainSwtch=1),calc!F43,IF(MainSwtch=2, calc!I43,"")),"")</f>
        <v/>
      </c>
      <c r="M8" s="213" t="s">
        <v>79</v>
      </c>
      <c r="N8" s="214">
        <f>IF(ArrayAngle=0,"∞",1/SIN(RADIANS(ArrayAngle/2)))</f>
        <v>2.0957385325084017</v>
      </c>
      <c r="O8" s="135"/>
      <c r="P8" s="135"/>
      <c r="R8" s="189" t="s">
        <v>51</v>
      </c>
      <c r="S8" s="107">
        <v>0</v>
      </c>
      <c r="T8" s="135" t="s">
        <v>5</v>
      </c>
      <c r="U8" s="111"/>
      <c r="V8" s="111"/>
      <c r="W8" s="111"/>
    </row>
    <row r="9" spans="2:23" x14ac:dyDescent="0.2">
      <c r="B9" s="231"/>
      <c r="C9" s="184" t="str">
        <f>IF(calc!$Z8=1,calc!C8,"")</f>
        <v/>
      </c>
      <c r="D9" s="174" t="str">
        <f>IF(calc!$Z8=1,calc!D26,"")</f>
        <v/>
      </c>
      <c r="E9" s="218" t="str">
        <f>IF(calc!$Z8=1,(IF(ArrayAngle&lt;=0,calc!F26,IF(MainSwtch=1,calc!L26,(IF(MainSwtch=2,calc!S26,"ehm?"))))),"")</f>
        <v/>
      </c>
      <c r="F9" s="218" t="str">
        <f>IF(calc!$Z8=1,(IF(ArrayAngle&lt;=0,calc!G26,IF(MainSwtch=1,calc!M26,(IF(MainSwtch=2,calc!T26,"ehm?"))))),"")</f>
        <v/>
      </c>
      <c r="G9" s="124" t="str">
        <f>IF(calc!$Z8=1,(IF(ArrayAngle&lt;=0,calc!H26,IF(MainSwtch=1,calc!N26,(IF(MainSwtch=2,calc!U26,"ehm?"))))),"")</f>
        <v/>
      </c>
      <c r="H9" s="221" t="str">
        <f>IF(calc!$Z8=1,(IF(ArrayAngle&lt;=0,calc!I26,IF(MainSwtch=1,calc!O26,(IF(MainSwtch=2,calc!V26,"ehm?"))))),"")</f>
        <v/>
      </c>
      <c r="I9" s="218" t="str">
        <f>IF(calc!$Z8=1,(IF(ArrayAngle&lt;=0,calc!J26,IF(MainSwtch=1,calc!P26,(IF(MainSwtch=2,calc!W26,"ehm?"))))),"")</f>
        <v/>
      </c>
      <c r="J9" s="124" t="str">
        <f>IF(calc!$Z8=1,(IF(ArrayAngle&lt;=0,calc!K26,IF(MainSwtch=1,calc!Q26,(IF(MainSwtch=2,calc!X26,"ehm?"))))),"")</f>
        <v/>
      </c>
      <c r="K9" s="145" t="str">
        <f>IF(calc!$Z8=1,IF(OR(ArrayAngle&lt;=0,MainSwtch=1),calc!F44,IF(MainSwtch=2, calc!I44,"")),"")</f>
        <v/>
      </c>
      <c r="M9" s="212" t="s">
        <v>46</v>
      </c>
      <c r="N9" s="106">
        <v>2</v>
      </c>
      <c r="O9" s="135" t="s">
        <v>1</v>
      </c>
      <c r="P9" s="135"/>
      <c r="R9" s="189" t="s">
        <v>44</v>
      </c>
      <c r="S9" s="176">
        <v>0</v>
      </c>
      <c r="T9" s="135" t="s">
        <v>17</v>
      </c>
      <c r="U9" s="111"/>
      <c r="V9" s="111"/>
      <c r="W9" s="111"/>
    </row>
    <row r="10" spans="2:23" x14ac:dyDescent="0.2">
      <c r="B10" s="231"/>
      <c r="C10" s="184" t="str">
        <f>IF(calc!$Z9=1,calc!C9,"")</f>
        <v/>
      </c>
      <c r="D10" s="174" t="str">
        <f>IF(calc!$Z9=1,calc!D27,"")</f>
        <v/>
      </c>
      <c r="E10" s="218" t="str">
        <f>IF(calc!$Z9=1,(IF(ArrayAngle&lt;=0,calc!F27,IF(MainSwtch=1,calc!L27,(IF(MainSwtch=2,calc!S27,"ehm?"))))),"")</f>
        <v/>
      </c>
      <c r="F10" s="218" t="str">
        <f>IF(calc!$Z9=1,(IF(ArrayAngle&lt;=0,calc!G27,IF(MainSwtch=1,calc!M27,(IF(MainSwtch=2,calc!T27,"ehm?"))))),"")</f>
        <v/>
      </c>
      <c r="G10" s="124" t="str">
        <f>IF(calc!$Z9=1,(IF(ArrayAngle&lt;=0,calc!H27,IF(MainSwtch=1,calc!N27,(IF(MainSwtch=2,calc!U27,"ehm?"))))),"")</f>
        <v/>
      </c>
      <c r="H10" s="221" t="str">
        <f>IF(calc!$Z9=1,(IF(ArrayAngle&lt;=0,calc!I27,IF(MainSwtch=1,calc!O27,(IF(MainSwtch=2,calc!V27,"ehm?"))))),"")</f>
        <v/>
      </c>
      <c r="I10" s="218" t="str">
        <f>IF(calc!$Z9=1,(IF(ArrayAngle&lt;=0,calc!J27,IF(MainSwtch=1,calc!P27,(IF(MainSwtch=2,calc!W27,"ehm?"))))),"")</f>
        <v/>
      </c>
      <c r="J10" s="124" t="str">
        <f>IF(calc!$Z9=1,(IF(ArrayAngle&lt;=0,calc!K27,IF(MainSwtch=1,calc!Q27,(IF(MainSwtch=2,calc!X27,"ehm?"))))),"")</f>
        <v/>
      </c>
      <c r="K10" s="145" t="str">
        <f>IF(calc!$Z9=1,IF(OR(ArrayAngle&lt;=0,MainSwtch=1),calc!F45,IF(MainSwtch=2, calc!I45,"")),"")</f>
        <v/>
      </c>
      <c r="M10" s="189" t="s">
        <v>77</v>
      </c>
      <c r="N10" s="191">
        <v>100</v>
      </c>
      <c r="O10" s="135" t="s">
        <v>81</v>
      </c>
      <c r="P10" s="135"/>
      <c r="U10" s="111"/>
      <c r="V10" s="111"/>
      <c r="W10" s="111"/>
    </row>
    <row r="11" spans="2:23" x14ac:dyDescent="0.2">
      <c r="B11" s="231"/>
      <c r="C11" s="184">
        <f>IF(calc!$Z10=1,calc!C10,"")</f>
        <v>3</v>
      </c>
      <c r="D11" s="174">
        <f>IF(calc!$Z10=1,calc!D28,"")</f>
        <v>28.5</v>
      </c>
      <c r="E11" s="218">
        <f>IF(calc!$Z10=1,(IF(ArrayAngle&lt;=0,calc!F28,IF(MainSwtch=1,calc!L28,(IF(MainSwtch=2,calc!S28,"ehm?"))))),"")</f>
        <v>0</v>
      </c>
      <c r="F11" s="218">
        <f>IF(calc!$Z10=1,(IF(ArrayAngle&lt;=0,calc!G28,IF(MainSwtch=1,calc!M28,(IF(MainSwtch=2,calc!T28,"ehm?"))))),"")</f>
        <v>5</v>
      </c>
      <c r="G11" s="225">
        <f>IF(calc!$Z10=1,(IF(ArrayAngle&lt;=0,calc!H28,IF(MainSwtch=1,calc!N28,(IF(MainSwtch=2,calc!U28,"ehm?"))))),"")</f>
        <v>3.5941556096310836</v>
      </c>
      <c r="H11" s="221">
        <f>IF(calc!$Z10=1,(IF(ArrayAngle&lt;=0,calc!I28,IF(MainSwtch=1,calc!O28,(IF(MainSwtch=2,calc!V28,"ehm?"))))),"")</f>
        <v>1.5</v>
      </c>
      <c r="I11" s="218">
        <f>IF(calc!$Z10=1,(IF(ArrayAngle&lt;=0,calc!J28,IF(MainSwtch=1,calc!P28,(IF(MainSwtch=2,calc!W28,"ehm?"))))),"")</f>
        <v>5.6786946245480463</v>
      </c>
      <c r="J11" s="225">
        <f>IF(calc!$Z10=1,(IF(ArrayAngle&lt;=0,calc!K28,IF(MainSwtch=1,calc!Q28,(IF(MainSwtch=2,calc!X28,"ehm?"))))),"")</f>
        <v>8.5613861892422687</v>
      </c>
      <c r="K11" s="145">
        <f>IF(calc!$Z10=1,IF(OR(ArrayAngle&lt;=0,MainSwtch=1),calc!F46,IF(MainSwtch=2, calc!I46,"")),"")</f>
        <v>52.17754133517041</v>
      </c>
      <c r="M11" s="203"/>
      <c r="N11" s="199"/>
      <c r="R11" s="192" t="s">
        <v>62</v>
      </c>
      <c r="S11" s="192"/>
      <c r="T11" s="194"/>
      <c r="W11" s="111"/>
    </row>
    <row r="12" spans="2:23" x14ac:dyDescent="0.2">
      <c r="B12" s="231"/>
      <c r="C12" s="184">
        <f>IF(calc!$Z11=1,calc!C11,"")</f>
        <v>2</v>
      </c>
      <c r="D12" s="174">
        <f>IF(calc!$Z11=1,calc!D29,"")</f>
        <v>17.100000000000001</v>
      </c>
      <c r="E12" s="218">
        <f>IF(calc!$Z11=1,(IF(ArrayAngle&lt;=0,calc!F29,IF(MainSwtch=1,calc!L29,(IF(MainSwtch=2,calc!S29,"ehm?"))))),"")</f>
        <v>0</v>
      </c>
      <c r="F12" s="218">
        <f>IF(calc!$Z11=1,(IF(ArrayAngle&lt;=0,calc!G29,IF(MainSwtch=1,calc!M29,(IF(MainSwtch=2,calc!T29,"ehm?"))))),"")</f>
        <v>3</v>
      </c>
      <c r="G12" s="225">
        <f>IF(calc!$Z11=1,(IF(ArrayAngle&lt;=0,calc!H29,IF(MainSwtch=1,calc!N29,(IF(MainSwtch=2,calc!U29,"ehm?"))))),"")</f>
        <v>1.2996053257507656</v>
      </c>
      <c r="H12" s="221">
        <f>IF(calc!$Z11=1,(IF(ArrayAngle&lt;=0,calc!I29,IF(MainSwtch=1,calc!O29,(IF(MainSwtch=2,calc!V29,"ehm?"))))),"")</f>
        <v>1.5</v>
      </c>
      <c r="I12" s="218">
        <f>IF(calc!$Z11=1,(IF(ArrayAngle&lt;=0,calc!J29,IF(MainSwtch=1,calc!P29,(IF(MainSwtch=2,calc!W29,"ehm?"))))),"")</f>
        <v>3.4072167747288273</v>
      </c>
      <c r="J12" s="225">
        <f>IF(calc!$Z11=1,(IF(ArrayAngle&lt;=0,calc!K29,IF(MainSwtch=1,calc!Q29,(IF(MainSwtch=2,calc!X29,"ehm?"))))),"")</f>
        <v>5.8667942132121231</v>
      </c>
      <c r="K12" s="145">
        <f>IF(calc!$Z11=1,IF(OR(ArrayAngle&lt;=0,MainSwtch=1),calc!F47,IF(MainSwtch=2, calc!I47,"")),"")</f>
        <v>55.269516003387395</v>
      </c>
      <c r="M12" s="134" t="s">
        <v>0</v>
      </c>
      <c r="N12" s="134"/>
      <c r="O12" s="137"/>
      <c r="P12" s="135"/>
      <c r="R12" s="193" t="s">
        <v>30</v>
      </c>
      <c r="S12" s="195">
        <f>sos*S13/1000</f>
        <v>1.0738125000000001</v>
      </c>
      <c r="T12" s="194" t="s">
        <v>1</v>
      </c>
      <c r="U12" s="111"/>
      <c r="V12" s="111"/>
      <c r="W12" s="111"/>
    </row>
    <row r="13" spans="2:23" x14ac:dyDescent="0.2">
      <c r="B13" s="231"/>
      <c r="C13" s="184">
        <f>IF(calc!$Z12=1,calc!C12,"")</f>
        <v>1</v>
      </c>
      <c r="D13" s="174">
        <f>IF(calc!$Z12=1,calc!D30,"")</f>
        <v>5.7</v>
      </c>
      <c r="E13" s="218">
        <f>IF(calc!$Z12=1,(IF(ArrayAngle&lt;=0,calc!F30,IF(MainSwtch=1,calc!L30,(IF(MainSwtch=2,calc!S30,"ehm?"))))),"")</f>
        <v>0</v>
      </c>
      <c r="F13" s="218">
        <f>IF(calc!$Z12=1,(IF(ArrayAngle&lt;=0,calc!G30,IF(MainSwtch=1,calc!M30,(IF(MainSwtch=2,calc!T30,"ehm?"))))),"")</f>
        <v>1</v>
      </c>
      <c r="G13" s="225">
        <f>IF(calc!$Z12=1,(IF(ArrayAngle&lt;=0,calc!H30,IF(MainSwtch=1,calc!N30,(IF(MainSwtch=2,calc!U30,"ehm?"))))),"")</f>
        <v>0</v>
      </c>
      <c r="H13" s="221">
        <f>IF(calc!$Z12=1,(IF(ArrayAngle&lt;=0,calc!I30,IF(MainSwtch=1,calc!O30,(IF(MainSwtch=2,calc!V30,"ehm?"))))),"")</f>
        <v>1.5</v>
      </c>
      <c r="I13" s="218">
        <f>IF(calc!$Z12=1,(IF(ArrayAngle&lt;=0,calc!J30,IF(MainSwtch=1,calc!P30,(IF(MainSwtch=2,calc!W30,"ehm?"))))),"")</f>
        <v>1.1357389249096093</v>
      </c>
      <c r="J13" s="225">
        <f>IF(calc!$Z12=1,(IF(ArrayAngle&lt;=0,calc!K30,IF(MainSwtch=1,calc!Q30,(IF(MainSwtch=2,calc!X30,"ehm?"))))),"")</f>
        <v>4.3869783434006822</v>
      </c>
      <c r="K13" s="145">
        <f>IF(calc!$Z12=1,IF(OR(ArrayAngle&lt;=0,MainSwtch=1),calc!F48,IF(MainSwtch=2, calc!I48,"")),"")</f>
        <v>57.036940860411519</v>
      </c>
      <c r="M13" s="189" t="s">
        <v>30</v>
      </c>
      <c r="N13" s="106">
        <v>1.5</v>
      </c>
      <c r="O13" s="137" t="s">
        <v>1</v>
      </c>
      <c r="P13" s="135"/>
      <c r="R13" s="193" t="s">
        <v>51</v>
      </c>
      <c r="S13" s="195">
        <f>(1000/S14/4)</f>
        <v>3.125</v>
      </c>
      <c r="T13" s="194" t="s">
        <v>5</v>
      </c>
      <c r="W13" s="111"/>
    </row>
    <row r="14" spans="2:23" x14ac:dyDescent="0.2">
      <c r="B14" s="231" t="s">
        <v>36</v>
      </c>
      <c r="C14" s="184">
        <f>IF(calc!$Z13=1,calc!C13,"")</f>
        <v>1</v>
      </c>
      <c r="D14" s="174">
        <f>IF(calc!$Z13=1,calc!D31,"")</f>
        <v>-5.7</v>
      </c>
      <c r="E14" s="218">
        <f>IF(calc!$Z13=1,(IF(ArrayAngle&lt;=0,calc!F31,IF(MainSwtch=1,calc!L31,(IF(MainSwtch=2,calc!S31,"ehm?"))))),"")</f>
        <v>0</v>
      </c>
      <c r="F14" s="218">
        <f>IF(calc!$Z13=1,(IF(ArrayAngle&lt;=0,calc!G31,IF(MainSwtch=1,calc!M31,(IF(MainSwtch=2,calc!T31,"ehm?"))))),"")</f>
        <v>-1</v>
      </c>
      <c r="G14" s="225">
        <f>IF(calc!$Z13=1,(IF(ArrayAngle&lt;=0,calc!H31,IF(MainSwtch=1,calc!N31,(IF(MainSwtch=2,calc!U31,"ehm?"))))),"")</f>
        <v>0</v>
      </c>
      <c r="H14" s="221">
        <f>IF(calc!$Z13=1,(IF(ArrayAngle&lt;=0,calc!I31,IF(MainSwtch=1,calc!O31,(IF(MainSwtch=2,calc!V31,"ehm?"))))),"")</f>
        <v>1.5</v>
      </c>
      <c r="I14" s="218">
        <f>IF(calc!$Z13=1,(IF(ArrayAngle&lt;=0,calc!J31,IF(MainSwtch=1,calc!P31,(IF(MainSwtch=2,calc!W31,"ehm?"))))),"")</f>
        <v>-1.1357389249096093</v>
      </c>
      <c r="J14" s="225">
        <f>IF(calc!$Z13=1,(IF(ArrayAngle&lt;=0,calc!K31,IF(MainSwtch=1,calc!Q31,(IF(MainSwtch=2,calc!X31,"ehm?"))))),"")</f>
        <v>4.3869783434006822</v>
      </c>
      <c r="K14" s="145">
        <f>IF(calc!$Z13=1,IF(OR(ArrayAngle&lt;=0,MainSwtch=1),calc!F49,IF(MainSwtch=2, calc!I49,"")),"")</f>
        <v>57.036940860411519</v>
      </c>
      <c r="M14" s="189" t="s">
        <v>51</v>
      </c>
      <c r="N14" s="125">
        <f>(1000*distance)/sos</f>
        <v>4.365287235900122</v>
      </c>
      <c r="O14" s="137" t="s">
        <v>5</v>
      </c>
      <c r="P14" s="135"/>
      <c r="R14" s="193" t="s">
        <v>52</v>
      </c>
      <c r="S14" s="108">
        <v>80</v>
      </c>
      <c r="T14" s="194" t="s">
        <v>6</v>
      </c>
      <c r="U14" s="111"/>
      <c r="V14" s="111"/>
      <c r="W14" s="111"/>
    </row>
    <row r="15" spans="2:23" x14ac:dyDescent="0.2">
      <c r="B15" s="231"/>
      <c r="C15" s="184">
        <f>IF(calc!$Z14=1,calc!C14,"")</f>
        <v>2</v>
      </c>
      <c r="D15" s="174">
        <f>IF(calc!$Z14=1,calc!D32,"")</f>
        <v>-17.100000000000001</v>
      </c>
      <c r="E15" s="218">
        <f>IF(calc!$Z14=1,(IF(ArrayAngle&lt;=0,calc!F32,IF(MainSwtch=1,calc!L32,(IF(MainSwtch=2,calc!S32,"ehm?"))))),"")</f>
        <v>0</v>
      </c>
      <c r="F15" s="218">
        <f>IF(calc!$Z14=1,(IF(ArrayAngle&lt;=0,calc!G32,IF(MainSwtch=1,calc!M32,(IF(MainSwtch=2,calc!T32,"ehm?"))))),"")</f>
        <v>-3</v>
      </c>
      <c r="G15" s="225">
        <f>IF(calc!$Z14=1,(IF(ArrayAngle&lt;=0,calc!H32,IF(MainSwtch=1,calc!N32,(IF(MainSwtch=2,calc!U32,"ehm?"))))),"")</f>
        <v>1.2996053257507656</v>
      </c>
      <c r="H15" s="221">
        <f>IF(calc!$Z14=1,(IF(ArrayAngle&lt;=0,calc!I32,IF(MainSwtch=1,calc!O32,(IF(MainSwtch=2,calc!V32,"ehm?"))))),"")</f>
        <v>1.5</v>
      </c>
      <c r="I15" s="218">
        <f>IF(calc!$Z14=1,(IF(ArrayAngle&lt;=0,calc!J32,IF(MainSwtch=1,calc!P32,(IF(MainSwtch=2,calc!W32,"ehm?"))))),"")</f>
        <v>-3.4072167747288273</v>
      </c>
      <c r="J15" s="225">
        <f>IF(calc!$Z14=1,(IF(ArrayAngle&lt;=0,calc!K32,IF(MainSwtch=1,calc!Q32,(IF(MainSwtch=2,calc!X32,"ehm?"))))),"")</f>
        <v>5.8667942132121231</v>
      </c>
      <c r="K15" s="145">
        <f>IF(calc!$Z14=1,IF(OR(ArrayAngle&lt;=0,MainSwtch=1),calc!F50,IF(MainSwtch=2, calc!I50,"")),"")</f>
        <v>55.269516003387395</v>
      </c>
      <c r="M15" s="189" t="s">
        <v>52</v>
      </c>
      <c r="N15" s="126">
        <f>1000/(time*4)</f>
        <v>57.27</v>
      </c>
      <c r="O15" s="134" t="s">
        <v>6</v>
      </c>
      <c r="P15" s="135"/>
      <c r="R15" s="111"/>
      <c r="S15" s="111"/>
      <c r="T15" s="111"/>
      <c r="U15" s="111"/>
      <c r="V15" s="111"/>
      <c r="W15" s="111"/>
    </row>
    <row r="16" spans="2:23" x14ac:dyDescent="0.2">
      <c r="B16" s="231"/>
      <c r="C16" s="184">
        <f>IF(calc!$Z15=1,calc!C15,"")</f>
        <v>3</v>
      </c>
      <c r="D16" s="174">
        <f>IF(calc!$Z15=1,calc!D33,"")</f>
        <v>-28.5</v>
      </c>
      <c r="E16" s="218">
        <f>IF(calc!$Z15=1,(IF(ArrayAngle&lt;=0,calc!F33,IF(MainSwtch=1,calc!L33,(IF(MainSwtch=2,calc!S33,"ehm?"))))),"")</f>
        <v>0</v>
      </c>
      <c r="F16" s="218">
        <f>IF(calc!$Z15=1,(IF(ArrayAngle&lt;=0,calc!G33,IF(MainSwtch=1,calc!M33,(IF(MainSwtch=2,calc!T33,"ehm?"))))),"")</f>
        <v>-5</v>
      </c>
      <c r="G16" s="225">
        <f>IF(calc!$Z15=1,(IF(ArrayAngle&lt;=0,calc!H33,IF(MainSwtch=1,calc!N33,(IF(MainSwtch=2,calc!U33,"ehm?"))))),"")</f>
        <v>3.5941556096310836</v>
      </c>
      <c r="H16" s="221">
        <f>IF(calc!$Z15=1,(IF(ArrayAngle&lt;=0,calc!I33,IF(MainSwtch=1,calc!O33,(IF(MainSwtch=2,calc!V33,"ehm?"))))),"")</f>
        <v>1.5</v>
      </c>
      <c r="I16" s="218">
        <f>IF(calc!$Z15=1,(IF(ArrayAngle&lt;=0,calc!J33,IF(MainSwtch=1,calc!P33,(IF(MainSwtch=2,calc!W33,"ehm?"))))),"")</f>
        <v>-5.6786946245480463</v>
      </c>
      <c r="J16" s="225">
        <f>IF(calc!$Z15=1,(IF(ArrayAngle&lt;=0,calc!K33,IF(MainSwtch=1,calc!Q33,(IF(MainSwtch=2,calc!X33,"ehm?"))))),"")</f>
        <v>8.5613861892422687</v>
      </c>
      <c r="K16" s="145">
        <f>IF(calc!$Z15=1,IF(OR(ArrayAngle&lt;=0,MainSwtch=1),calc!F51,IF(MainSwtch=2, calc!I51,"")),"")</f>
        <v>52.17754133517041</v>
      </c>
      <c r="M16" s="190"/>
      <c r="N16" s="137"/>
      <c r="O16" s="137"/>
      <c r="P16" s="135"/>
      <c r="R16" s="192" t="s">
        <v>63</v>
      </c>
      <c r="S16" s="192"/>
      <c r="T16" s="194"/>
    </row>
    <row r="17" spans="2:23" x14ac:dyDescent="0.2">
      <c r="B17" s="231"/>
      <c r="C17" s="184" t="str">
        <f>IF(calc!$Z16=1,calc!C16,"")</f>
        <v/>
      </c>
      <c r="D17" s="174" t="str">
        <f>IF(calc!$Z16=1,calc!D34,"")</f>
        <v/>
      </c>
      <c r="E17" s="218" t="str">
        <f>IF(calc!$Z16=1,(IF(ArrayAngle&lt;=0,calc!F34,IF(MainSwtch=1,calc!L34,(IF(MainSwtch=2,calc!S34,"ehm?"))))),"")</f>
        <v/>
      </c>
      <c r="F17" s="218" t="str">
        <f>IF(calc!$Z16=1,(IF(ArrayAngle&lt;=0,calc!G34,IF(MainSwtch=1,calc!M34,(IF(MainSwtch=2,calc!T34,"ehm?"))))),"")</f>
        <v/>
      </c>
      <c r="G17" s="124" t="str">
        <f>IF(calc!$Z16=1,(IF(ArrayAngle&lt;=0,calc!H34,IF(MainSwtch=1,calc!N34,(IF(MainSwtch=2,calc!U34,"ehm?"))))),"")</f>
        <v/>
      </c>
      <c r="H17" s="221" t="str">
        <f>IF(calc!$Z16=1,(IF(ArrayAngle&lt;=0,calc!I34,IF(MainSwtch=1,calc!O34,(IF(MainSwtch=2,calc!V34,"ehm?"))))),"")</f>
        <v/>
      </c>
      <c r="I17" s="218" t="str">
        <f>IF(calc!$Z16=1,(IF(ArrayAngle&lt;=0,calc!J34,IF(MainSwtch=1,calc!P34,(IF(MainSwtch=2,calc!W34,"ehm?"))))),"")</f>
        <v/>
      </c>
      <c r="J17" s="124" t="str">
        <f>IF(calc!$Z16=1,(IF(ArrayAngle&lt;=0,calc!K34,IF(MainSwtch=1,calc!Q34,(IF(MainSwtch=2,calc!X34,"ehm?"))))),"")</f>
        <v/>
      </c>
      <c r="K17" s="145" t="str">
        <f>IF(calc!$Z16=1,IF(OR(ArrayAngle&lt;=0,MainSwtch=1),calc!F52,IF(MainSwtch=2, calc!I52,"")),"")</f>
        <v/>
      </c>
      <c r="M17" s="189" t="s">
        <v>91</v>
      </c>
      <c r="N17" s="127">
        <f>2*CancelF</f>
        <v>114.54</v>
      </c>
      <c r="O17" s="135" t="s">
        <v>6</v>
      </c>
      <c r="P17" s="135"/>
      <c r="R17" s="193" t="s">
        <v>8</v>
      </c>
      <c r="S17" s="106">
        <v>27</v>
      </c>
      <c r="T17" s="194" t="s">
        <v>6</v>
      </c>
    </row>
    <row r="18" spans="2:23" x14ac:dyDescent="0.2">
      <c r="B18" s="231"/>
      <c r="C18" s="184" t="str">
        <f>IF(calc!$Z17=1,calc!C17,"")</f>
        <v/>
      </c>
      <c r="D18" s="174" t="str">
        <f>IF(calc!$Z17=1,calc!D35,"")</f>
        <v/>
      </c>
      <c r="E18" s="218" t="str">
        <f>IF(calc!$Z17=1,(IF(ArrayAngle&lt;=0,calc!F35,IF(MainSwtch=1,calc!L35,(IF(MainSwtch=2,calc!S35,"ehm?"))))),"")</f>
        <v/>
      </c>
      <c r="F18" s="218" t="str">
        <f>IF(calc!$Z17=1,(IF(ArrayAngle&lt;=0,calc!G35,IF(MainSwtch=1,calc!M35,(IF(MainSwtch=2,calc!T35,"ehm?"))))),"")</f>
        <v/>
      </c>
      <c r="G18" s="124" t="str">
        <f>IF(calc!$Z17=1,(IF(ArrayAngle&lt;=0,calc!H35,IF(MainSwtch=1,calc!N35,(IF(MainSwtch=2,calc!U35,"ehm?"))))),"")</f>
        <v/>
      </c>
      <c r="H18" s="221" t="str">
        <f>IF(calc!$Z17=1,(IF(ArrayAngle&lt;=0,calc!I35,IF(MainSwtch=1,calc!O35,(IF(MainSwtch=2,calc!V35,"ehm?"))))),"")</f>
        <v/>
      </c>
      <c r="I18" s="218" t="str">
        <f>IF(calc!$Z17=1,(IF(ArrayAngle&lt;=0,calc!J35,IF(MainSwtch=1,calc!P35,(IF(MainSwtch=2,calc!W35,"ehm?"))))),"")</f>
        <v/>
      </c>
      <c r="J18" s="124" t="str">
        <f>IF(calc!$Z17=1,(IF(ArrayAngle&lt;=0,calc!K35,IF(MainSwtch=1,calc!Q35,(IF(MainSwtch=2,calc!X35,"ehm?"))))),"")</f>
        <v/>
      </c>
      <c r="K18" s="145" t="str">
        <f>IF(calc!$Z17=1,IF(OR(ArrayAngle&lt;=0,MainSwtch=1),calc!F53,IF(MainSwtch=2, calc!I53,"")),"")</f>
        <v/>
      </c>
      <c r="M18" s="223" t="s">
        <v>12</v>
      </c>
      <c r="N18" s="110">
        <f>CancelF*(55/85)</f>
        <v>37.057058823529417</v>
      </c>
      <c r="O18" s="135" t="s">
        <v>6</v>
      </c>
      <c r="P18" s="135"/>
      <c r="R18" s="193" t="s">
        <v>7</v>
      </c>
      <c r="S18" s="106">
        <v>70</v>
      </c>
      <c r="T18" s="194" t="s">
        <v>6</v>
      </c>
    </row>
    <row r="19" spans="2:23" x14ac:dyDescent="0.2">
      <c r="B19" s="233"/>
      <c r="C19" s="185" t="str">
        <f>IF(calc!$Z18=1,calc!C18,"")</f>
        <v/>
      </c>
      <c r="D19" s="175" t="str">
        <f>IF(calc!$Z18=1,calc!D36,"")</f>
        <v/>
      </c>
      <c r="E19" s="219" t="str">
        <f>IF(calc!$Z18=1,(IF(ArrayAngle&lt;=0,calc!F36,IF(MainSwtch=1,calc!L36,(IF(MainSwtch=2,calc!S36,"ehm?"))))),"")</f>
        <v/>
      </c>
      <c r="F19" s="219" t="str">
        <f>IF(calc!$Z18=1,(IF(ArrayAngle&lt;=0,calc!G36,IF(MainSwtch=1,calc!M36,(IF(MainSwtch=2,calc!T36,"ehm?"))))),"")</f>
        <v/>
      </c>
      <c r="G19" s="130" t="str">
        <f>IF(calc!$Z18=1,(IF(ArrayAngle&lt;=0,calc!H36,IF(MainSwtch=1,calc!N36,(IF(MainSwtch=2,calc!U36,"ehm?"))))),"")</f>
        <v/>
      </c>
      <c r="H19" s="222" t="str">
        <f>IF(calc!$Z18=1,(IF(ArrayAngle&lt;=0,calc!I36,IF(MainSwtch=1,calc!O36,(IF(MainSwtch=2,calc!V36,"ehm?"))))),"")</f>
        <v/>
      </c>
      <c r="I19" s="219" t="str">
        <f>IF(calc!$Z18=1,(IF(ArrayAngle&lt;=0,calc!J36,IF(MainSwtch=1,calc!P36,(IF(MainSwtch=2,calc!W36,"ehm?"))))),"")</f>
        <v/>
      </c>
      <c r="J19" s="130" t="str">
        <f>IF(calc!$Z18=1,(IF(ArrayAngle&lt;=0,calc!K36,IF(MainSwtch=1,calc!Q36,(IF(MainSwtch=2,calc!X36,"ehm?"))))),"")</f>
        <v/>
      </c>
      <c r="K19" s="146" t="str">
        <f>IF(calc!$Z18=1,IF(OR(ArrayAngle&lt;=0,MainSwtch=1),calc!F54,IF(MainSwtch=2, calc!I54,"")),"")</f>
        <v/>
      </c>
      <c r="M19" s="223" t="s">
        <v>13</v>
      </c>
      <c r="N19" s="110">
        <f>CancelF*(113/85)</f>
        <v>76.135411764705879</v>
      </c>
      <c r="O19" s="135" t="s">
        <v>6</v>
      </c>
      <c r="P19" s="135"/>
      <c r="R19" s="193" t="s">
        <v>92</v>
      </c>
      <c r="S19" s="196">
        <f>(LPF-HPF)/2+HPF</f>
        <v>48.5</v>
      </c>
      <c r="T19" s="194" t="s">
        <v>6</v>
      </c>
    </row>
    <row r="20" spans="2:23" x14ac:dyDescent="0.2">
      <c r="M20" s="135"/>
      <c r="N20" s="135"/>
      <c r="O20" s="135"/>
      <c r="P20" s="135"/>
      <c r="R20" s="193" t="s">
        <v>30</v>
      </c>
      <c r="S20" s="195">
        <f>sos/(S19*4)</f>
        <v>1.7712371134020619</v>
      </c>
      <c r="T20" s="194" t="s">
        <v>1</v>
      </c>
    </row>
    <row r="21" spans="2:23" x14ac:dyDescent="0.2">
      <c r="D21" s="109" t="s">
        <v>55</v>
      </c>
      <c r="F21" s="139">
        <f>Spkr_in_row1*2</f>
        <v>12</v>
      </c>
      <c r="T21" s="111"/>
      <c r="U21" s="111"/>
      <c r="V21" s="111"/>
      <c r="W21" s="111"/>
    </row>
    <row r="22" spans="2:23" x14ac:dyDescent="0.2">
      <c r="D22" s="109" t="s">
        <v>56</v>
      </c>
      <c r="F22" s="139">
        <f>IF(ArrayAngle&lt;=0,2,IF(MainSwtch=2,Spkr_in_row1+MOD(Spkr_in_row1,2),2))</f>
        <v>6</v>
      </c>
      <c r="U22" s="111"/>
      <c r="V22" s="111"/>
      <c r="W22" s="111"/>
    </row>
    <row r="23" spans="2:23" x14ac:dyDescent="0.2">
      <c r="M23" s="134" t="s">
        <v>38</v>
      </c>
      <c r="N23" s="210" t="s">
        <v>49</v>
      </c>
      <c r="O23" s="211" t="s">
        <v>50</v>
      </c>
      <c r="P23" s="136"/>
      <c r="R23" s="134" t="s">
        <v>65</v>
      </c>
      <c r="S23" s="135"/>
      <c r="T23" s="137"/>
      <c r="U23" s="111"/>
      <c r="V23" s="111"/>
      <c r="W23" s="111"/>
    </row>
    <row r="24" spans="2:23" x14ac:dyDescent="0.2">
      <c r="M24" s="136" t="s">
        <v>14</v>
      </c>
      <c r="N24" s="216">
        <f>IF(Spkr_in_row1&lt;=1,0,calc!AG5)</f>
        <v>2</v>
      </c>
      <c r="O24" s="216">
        <f>IF(Spkr_in_row1&lt;=1,0,IF(ArrayAngle&lt;=0,N24,IF(MainSwtch=1,calc!AI5,IF(MainSwtch=2,calc!AH5,""))))</f>
        <v>2.2714778498192185</v>
      </c>
      <c r="P24" s="135"/>
      <c r="R24" s="189" t="s">
        <v>64</v>
      </c>
      <c r="S24" s="132">
        <f>MAX(I8:I19)-MIN(I8:I19)</f>
        <v>11.357389249096093</v>
      </c>
      <c r="T24" s="135" t="s">
        <v>1</v>
      </c>
      <c r="U24" s="111"/>
      <c r="V24" s="111"/>
      <c r="W24" s="111"/>
    </row>
    <row r="25" spans="2:23" x14ac:dyDescent="0.2">
      <c r="M25" s="206" t="s">
        <v>25</v>
      </c>
      <c r="N25" s="187">
        <f>IF(Spkr_in_row1&lt;=1,0,calc!AG6)</f>
        <v>171.81</v>
      </c>
      <c r="O25" s="187">
        <f>IF(Spkr_in_row1&lt;=1,0,IF(ArrayAngle&lt;=0,N25,IF(MainSwtch=1,calc!AI6,IF(MainSwtch=2,calc!AH6,""))))</f>
        <v>151.27596336779067</v>
      </c>
      <c r="P25" s="135"/>
      <c r="R25" s="189" t="s">
        <v>61</v>
      </c>
      <c r="S25" s="132">
        <f>MAX(H8:H19)-MIN(E8:E19)</f>
        <v>1.5</v>
      </c>
      <c r="T25" s="135" t="s">
        <v>1</v>
      </c>
    </row>
    <row r="26" spans="2:23" x14ac:dyDescent="0.2">
      <c r="M26" s="207" t="s">
        <v>26</v>
      </c>
      <c r="N26" s="187">
        <f>IF(Spkr_in_row1&lt;=1,0,calc!AG7)</f>
        <v>114.53999999999999</v>
      </c>
      <c r="O26" s="187">
        <f>IF(Spkr_in_row1&lt;=1,0,IF(ArrayAngle&lt;=0,N26,IF(MainSwtch=1,calc!AI7,IF(MainSwtch=2,calc!AH7,""))))</f>
        <v>100.85064224519377</v>
      </c>
      <c r="P26" s="135"/>
      <c r="R26" s="189"/>
      <c r="S26" s="135"/>
      <c r="T26" s="135"/>
    </row>
    <row r="27" spans="2:23" x14ac:dyDescent="0.2">
      <c r="M27" s="208" t="s">
        <v>27</v>
      </c>
      <c r="N27" s="187">
        <f>IF(Spkr_in_row1&lt;=1,0,calc!AG8)</f>
        <v>85.905000000000001</v>
      </c>
      <c r="O27" s="187">
        <f>IF(Spkr_in_row1&lt;=1,0,IF(ArrayAngle&lt;=0,N27,IF(MainSwtch=1,calc!AI8,IF(MainSwtch=2,calc!AH8,""))))</f>
        <v>75.637981683895333</v>
      </c>
      <c r="P27" s="135"/>
    </row>
    <row r="28" spans="2:23" x14ac:dyDescent="0.2">
      <c r="M28" s="135"/>
      <c r="N28" s="133"/>
      <c r="O28" s="133"/>
      <c r="P28" s="135"/>
      <c r="R28" s="134" t="s">
        <v>85</v>
      </c>
      <c r="S28" s="135"/>
      <c r="T28" s="137"/>
    </row>
    <row r="29" spans="2:23" x14ac:dyDescent="0.2">
      <c r="B29" s="267"/>
      <c r="C29" s="268"/>
      <c r="D29" s="268"/>
      <c r="E29" s="268"/>
      <c r="M29" s="136" t="s">
        <v>60</v>
      </c>
      <c r="N29" s="186">
        <f>IF(Spkr_in_row1&lt;=1,0,calc!AG10)</f>
        <v>10</v>
      </c>
      <c r="O29" s="186">
        <f>IF(Spkr_in_row1&lt;=1,0,IF(ArrayAngle&lt;=0,N29,IF(MainSwtch=1,calc!AI10,IF(MainSwtch=2,calc!AH10,""))))</f>
        <v>11.357389249096093</v>
      </c>
      <c r="P29" s="135"/>
      <c r="R29" s="189" t="s">
        <v>86</v>
      </c>
      <c r="S29" s="176">
        <v>20</v>
      </c>
      <c r="T29" s="135" t="s">
        <v>1</v>
      </c>
    </row>
    <row r="30" spans="2:23" x14ac:dyDescent="0.2">
      <c r="B30" s="224"/>
      <c r="C30" s="269"/>
      <c r="D30" s="270"/>
      <c r="E30" s="270"/>
      <c r="M30" s="136" t="s">
        <v>25</v>
      </c>
      <c r="N30" s="187">
        <f>IF(Spkr_in_row1&lt;=1,0,calc!AG11)</f>
        <v>34.362000000000002</v>
      </c>
      <c r="O30" s="187">
        <f>IF(Spkr_in_row1&lt;=1,0,IF(ArrayAngle&lt;=0,N30,IF(MainSwtch=1,calc!AI11,IF(MainSwtch=2,calc!AH11,""))))</f>
        <v>30.255192673558131</v>
      </c>
      <c r="P30" s="135"/>
      <c r="R30" s="189" t="s">
        <v>87</v>
      </c>
      <c r="S30" s="176">
        <v>60</v>
      </c>
      <c r="T30" s="135" t="s">
        <v>1</v>
      </c>
    </row>
    <row r="31" spans="2:23" x14ac:dyDescent="0.2">
      <c r="B31" s="265"/>
      <c r="C31" s="266"/>
      <c r="D31" s="266"/>
      <c r="E31" s="266"/>
      <c r="M31" s="135"/>
      <c r="N31" s="135"/>
      <c r="O31" s="135"/>
      <c r="P31" s="135"/>
      <c r="R31" s="213" t="s">
        <v>79</v>
      </c>
      <c r="S31" s="215">
        <f>IF(OR(S29&lt;=0,S30&lt;=0),0,S30/S29)</f>
        <v>3</v>
      </c>
      <c r="T31" s="135"/>
    </row>
  </sheetData>
  <mergeCells count="7">
    <mergeCell ref="H5:J5"/>
    <mergeCell ref="B2:F3"/>
    <mergeCell ref="B5:C7"/>
    <mergeCell ref="B8:B13"/>
    <mergeCell ref="B14:B19"/>
    <mergeCell ref="E5:G5"/>
    <mergeCell ref="H2:I2"/>
  </mergeCells>
  <conditionalFormatting sqref="N6">
    <cfRule type="cellIs" dxfId="5" priority="1" operator="lessThan">
      <formula>1</formula>
    </cfRule>
    <cfRule type="cellIs" dxfId="4" priority="2" operator="greaterThan">
      <formula>12</formula>
    </cfRule>
  </conditionalFormatting>
  <conditionalFormatting sqref="N7">
    <cfRule type="cellIs" dxfId="3" priority="5" operator="lessThan">
      <formula>0</formula>
    </cfRule>
    <cfRule type="cellIs" dxfId="2" priority="6" operator="greaterThan">
      <formula>120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2:AU55"/>
  <sheetViews>
    <sheetView topLeftCell="F1" zoomScale="85" zoomScaleNormal="85" zoomScalePageLayoutView="85" workbookViewId="0">
      <selection activeCell="AC5" sqref="AC5"/>
    </sheetView>
  </sheetViews>
  <sheetFormatPr baseColWidth="10" defaultColWidth="8.83203125" defaultRowHeight="15" x14ac:dyDescent="0.2"/>
  <cols>
    <col min="1" max="1" width="11.83203125" style="1" customWidth="1"/>
    <col min="2" max="3" width="4.5" style="1" customWidth="1"/>
    <col min="4" max="4" width="8.5" style="1" bestFit="1" customWidth="1"/>
    <col min="5" max="18" width="7.1640625" style="1" customWidth="1"/>
    <col min="19" max="20" width="6.83203125" style="1" customWidth="1"/>
    <col min="21" max="21" width="7.5" style="1" customWidth="1"/>
    <col min="22" max="23" width="6.5" style="1" customWidth="1"/>
    <col min="24" max="24" width="8.5" style="1" customWidth="1"/>
    <col min="25" max="25" width="8.83203125" style="1"/>
    <col min="26" max="26" width="7.83203125" style="45" customWidth="1"/>
    <col min="27" max="27" width="8.83203125" style="1"/>
    <col min="28" max="28" width="17.83203125" style="1" customWidth="1"/>
    <col min="29" max="29" width="9.5" style="1" customWidth="1"/>
    <col min="30" max="30" width="5.5" style="1" customWidth="1"/>
    <col min="31" max="31" width="4.5" style="1" customWidth="1"/>
    <col min="32" max="32" width="14" style="1" customWidth="1"/>
    <col min="33" max="33" width="8.1640625" style="1" customWidth="1"/>
    <col min="34" max="34" width="8.83203125" style="1"/>
    <col min="35" max="35" width="9.83203125" style="1" customWidth="1"/>
    <col min="36" max="36" width="8.1640625" style="1" customWidth="1"/>
    <col min="37" max="37" width="21.33203125" style="1" bestFit="1" customWidth="1"/>
    <col min="38" max="16384" width="8.83203125" style="1"/>
  </cols>
  <sheetData>
    <row r="2" spans="1:38" x14ac:dyDescent="0.2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AF2" s="2"/>
    </row>
    <row r="3" spans="1:38" x14ac:dyDescent="0.2">
      <c r="B3" s="2" t="s">
        <v>37</v>
      </c>
    </row>
    <row r="4" spans="1:38" x14ac:dyDescent="0.2">
      <c r="B4" s="240" t="s">
        <v>34</v>
      </c>
      <c r="C4" s="241"/>
      <c r="D4" s="55"/>
      <c r="E4" s="55"/>
      <c r="F4" s="252" t="s">
        <v>58</v>
      </c>
      <c r="G4" s="253"/>
      <c r="H4" s="254"/>
      <c r="I4" s="252" t="s">
        <v>59</v>
      </c>
      <c r="J4" s="253"/>
      <c r="K4" s="254"/>
      <c r="L4" s="250" t="s">
        <v>41</v>
      </c>
      <c r="M4" s="251"/>
      <c r="N4" s="241"/>
      <c r="O4" s="249" t="s">
        <v>42</v>
      </c>
      <c r="P4" s="249"/>
      <c r="Q4" s="249"/>
      <c r="R4" s="62"/>
      <c r="S4" s="255" t="s">
        <v>18</v>
      </c>
      <c r="T4" s="251"/>
      <c r="U4" s="241"/>
      <c r="V4" s="251" t="s">
        <v>19</v>
      </c>
      <c r="W4" s="251"/>
      <c r="X4" s="251"/>
      <c r="Y4" s="46"/>
      <c r="Z4" s="246" t="s">
        <v>43</v>
      </c>
      <c r="AG4" s="93" t="s">
        <v>49</v>
      </c>
      <c r="AH4" t="s">
        <v>50</v>
      </c>
      <c r="AI4" s="7" t="s">
        <v>57</v>
      </c>
    </row>
    <row r="5" spans="1:38" x14ac:dyDescent="0.2">
      <c r="B5" s="242"/>
      <c r="C5" s="243"/>
      <c r="D5" s="256" t="s">
        <v>22</v>
      </c>
      <c r="E5" s="256"/>
      <c r="F5" s="76" t="s">
        <v>32</v>
      </c>
      <c r="G5" s="77" t="s">
        <v>31</v>
      </c>
      <c r="H5" s="78" t="s">
        <v>9</v>
      </c>
      <c r="I5" s="76" t="s">
        <v>32</v>
      </c>
      <c r="J5" s="77" t="s">
        <v>31</v>
      </c>
      <c r="K5" s="78" t="s">
        <v>9</v>
      </c>
      <c r="L5" s="23" t="s">
        <v>32</v>
      </c>
      <c r="M5" s="24" t="s">
        <v>31</v>
      </c>
      <c r="N5" s="25" t="s">
        <v>9</v>
      </c>
      <c r="O5" s="24" t="s">
        <v>32</v>
      </c>
      <c r="P5" s="24" t="s">
        <v>31</v>
      </c>
      <c r="Q5" s="24" t="s">
        <v>9</v>
      </c>
      <c r="R5" s="23" t="s">
        <v>33</v>
      </c>
      <c r="S5" s="26" t="s">
        <v>32</v>
      </c>
      <c r="T5" s="27" t="s">
        <v>31</v>
      </c>
      <c r="U5" s="28" t="s">
        <v>9</v>
      </c>
      <c r="V5" s="27" t="s">
        <v>32</v>
      </c>
      <c r="W5" s="27" t="s">
        <v>31</v>
      </c>
      <c r="X5" s="27" t="s">
        <v>9</v>
      </c>
      <c r="Y5" s="47" t="s">
        <v>4</v>
      </c>
      <c r="Z5" s="247"/>
      <c r="AB5" s="189" t="s">
        <v>24</v>
      </c>
      <c r="AC5" s="106">
        <f>userSpkr-MOD(userSpkr,1)</f>
        <v>6</v>
      </c>
      <c r="AD5" s="138" t="str">
        <f>IF(Spkr_in_row1&gt;12,"the limit is 12","")</f>
        <v/>
      </c>
      <c r="AE5" s="138"/>
      <c r="AF5" s="40" t="s">
        <v>14</v>
      </c>
      <c r="AG5" s="83">
        <f>Spacing_row1</f>
        <v>2</v>
      </c>
      <c r="AH5" s="205">
        <f>calc!W7-calc!W8</f>
        <v>2.2714778498192185</v>
      </c>
      <c r="AI5" s="87">
        <f>(-AcC_virtual+distance)*RADIANS(Single_splay)</f>
        <v>2.29845130209103</v>
      </c>
      <c r="AJ5" t="s">
        <v>1</v>
      </c>
    </row>
    <row r="6" spans="1:38" x14ac:dyDescent="0.2">
      <c r="B6" s="244"/>
      <c r="C6" s="245"/>
      <c r="D6" s="27" t="s">
        <v>20</v>
      </c>
      <c r="E6" s="27" t="s">
        <v>28</v>
      </c>
      <c r="F6" s="76" t="s">
        <v>15</v>
      </c>
      <c r="G6" s="77" t="s">
        <v>15</v>
      </c>
      <c r="H6" s="78" t="s">
        <v>2</v>
      </c>
      <c r="I6" s="88" t="s">
        <v>15</v>
      </c>
      <c r="J6" s="89" t="s">
        <v>15</v>
      </c>
      <c r="K6" s="90" t="s">
        <v>2</v>
      </c>
      <c r="L6" s="23" t="s">
        <v>15</v>
      </c>
      <c r="M6" s="24" t="s">
        <v>15</v>
      </c>
      <c r="N6" s="25" t="s">
        <v>2</v>
      </c>
      <c r="O6" s="24" t="s">
        <v>15</v>
      </c>
      <c r="P6" s="24" t="s">
        <v>15</v>
      </c>
      <c r="Q6" s="24" t="s">
        <v>2</v>
      </c>
      <c r="R6" s="23" t="s">
        <v>15</v>
      </c>
      <c r="S6" s="26" t="s">
        <v>15</v>
      </c>
      <c r="T6" s="27" t="s">
        <v>15</v>
      </c>
      <c r="U6" s="29" t="s">
        <v>2</v>
      </c>
      <c r="V6" s="27" t="s">
        <v>15</v>
      </c>
      <c r="W6" s="27" t="s">
        <v>15</v>
      </c>
      <c r="X6" s="45" t="s">
        <v>2</v>
      </c>
      <c r="Y6" s="47" t="s">
        <v>3</v>
      </c>
      <c r="Z6" s="248"/>
      <c r="AB6" s="189" t="s">
        <v>16</v>
      </c>
      <c r="AC6" s="107">
        <f>userAngle</f>
        <v>57</v>
      </c>
      <c r="AD6" s="135" t="str">
        <f>IF(AND(ArrayAngle&gt;120,MainSwtch=2),"don’t go over 120dg","dg")</f>
        <v>dg</v>
      </c>
      <c r="AE6" s="135"/>
      <c r="AF6" s="40" t="s">
        <v>25</v>
      </c>
      <c r="AG6" s="94">
        <f>sos/AG5</f>
        <v>171.81</v>
      </c>
      <c r="AH6" s="37">
        <f>sos/AH5</f>
        <v>151.27596336779067</v>
      </c>
      <c r="AI6" s="91">
        <f>sos/AI5</f>
        <v>149.50066581240577</v>
      </c>
      <c r="AJ6" t="s">
        <v>6</v>
      </c>
    </row>
    <row r="7" spans="1:38" x14ac:dyDescent="0.2">
      <c r="B7" s="255" t="s">
        <v>35</v>
      </c>
      <c r="C7" s="71">
        <f>IF(MOD(Spkr_in_row1,2)=1,5,6)</f>
        <v>6</v>
      </c>
      <c r="D7" s="51">
        <f>D8+Single_splay</f>
        <v>62.699999999999996</v>
      </c>
      <c r="E7" s="50">
        <f>RADIANS(D7)</f>
        <v>1.0943214410004445</v>
      </c>
      <c r="F7" s="79">
        <v>0</v>
      </c>
      <c r="G7" s="80">
        <f>G8+Spacing_row1</f>
        <v>11</v>
      </c>
      <c r="H7" s="81">
        <v>0</v>
      </c>
      <c r="I7" s="82">
        <f t="shared" ref="I7:I12" si="0">distance</f>
        <v>1.5</v>
      </c>
      <c r="J7" s="82">
        <f t="shared" ref="J7:J11" si="1">G7</f>
        <v>11</v>
      </c>
      <c r="K7" s="83">
        <f t="shared" ref="K7:K12" si="2">distance*1000/sos</f>
        <v>4.365287235900122</v>
      </c>
      <c r="L7" s="58">
        <f t="shared" ref="L7:L18" si="3">ABS(AcC_virtual)*COS($E7)+AcC_virtual</f>
        <v>-5.4415957483465904</v>
      </c>
      <c r="M7" s="57">
        <f t="shared" ref="M7:M18" si="4">ABS(AcC_virtual)*SIN($E7)</f>
        <v>8.9322836901268978</v>
      </c>
      <c r="N7" s="18">
        <v>0</v>
      </c>
      <c r="O7" s="58">
        <f t="shared" ref="O7:O18" si="5">ABS(AcC_virtual-distance)*COS($E7)+AcC_virtual</f>
        <v>-4.7536214166201178</v>
      </c>
      <c r="P7" s="57">
        <f t="shared" ref="P7:P18" si="6">ABS(AcC_virtual-distance)*SIN($E7)</f>
        <v>10.265209539109321</v>
      </c>
      <c r="Q7" s="53">
        <f t="shared" ref="Q7:Q18" si="7">N7+time</f>
        <v>4.365287235900122</v>
      </c>
      <c r="R7" s="43">
        <f t="shared" ref="R7:R18" si="8">POWER((POWER((S7-L7),2)+POWER((T7-M7),2)),0.5)</f>
        <v>5.8212039155606741</v>
      </c>
      <c r="S7" s="19">
        <v>0</v>
      </c>
      <c r="T7" s="20">
        <f>T8+Spacing_row1</f>
        <v>11</v>
      </c>
      <c r="U7" s="65">
        <f>R7*1000/sos</f>
        <v>16.940818100112551</v>
      </c>
      <c r="V7" s="21">
        <f t="shared" ref="V7:V12" si="9">distance</f>
        <v>1.5</v>
      </c>
      <c r="W7" s="21">
        <f t="shared" ref="W7:W18" si="10">(T7*(-AcC_row2+distance))/-AcC_row2</f>
        <v>12.493128174005701</v>
      </c>
      <c r="X7" s="38">
        <f t="shared" ref="X7:X16" si="11">((1000*(distance/COS(E7)))/sos)+U7</f>
        <v>26.458514548784031</v>
      </c>
      <c r="Y7" s="63">
        <v>-6.5</v>
      </c>
      <c r="Z7" s="29">
        <f>IF(Spkr_in_row1&gt;=11,1,0)</f>
        <v>0</v>
      </c>
      <c r="AB7" s="189" t="s">
        <v>82</v>
      </c>
      <c r="AC7" s="107">
        <f>userDirection</f>
        <v>0</v>
      </c>
      <c r="AD7" s="135" t="str">
        <f>IF(AND(ArrayAngle&gt;120,MainSwtch=2),"don’t go over 120dg","dg")</f>
        <v>dg</v>
      </c>
      <c r="AE7" s="135" t="s">
        <v>83</v>
      </c>
      <c r="AF7" s="40" t="s">
        <v>26</v>
      </c>
      <c r="AG7" s="94">
        <f>AG6*(2/3)</f>
        <v>114.53999999999999</v>
      </c>
      <c r="AH7" s="37">
        <f>AH6*(2/3)</f>
        <v>100.85064224519377</v>
      </c>
      <c r="AI7" s="91">
        <f>AI6*(2/3)</f>
        <v>99.667110541603847</v>
      </c>
      <c r="AJ7" t="s">
        <v>6</v>
      </c>
    </row>
    <row r="8" spans="1:38" x14ac:dyDescent="0.2">
      <c r="B8" s="242"/>
      <c r="C8" s="72">
        <f>IF(MOD(Spkr_in_row1,2)=1,4,5)</f>
        <v>5</v>
      </c>
      <c r="D8" s="12">
        <f>D9+Single_splay</f>
        <v>51.3</v>
      </c>
      <c r="E8" s="48">
        <f t="shared" ref="E8:E18" si="12">RADIANS(D8)</f>
        <v>0.89535390627309097</v>
      </c>
      <c r="F8" s="84">
        <v>0</v>
      </c>
      <c r="G8" s="85">
        <f>G9+Spacing_row1</f>
        <v>9</v>
      </c>
      <c r="H8" s="86">
        <v>0</v>
      </c>
      <c r="I8" s="82">
        <f t="shared" si="0"/>
        <v>1.5</v>
      </c>
      <c r="J8" s="82">
        <f t="shared" si="1"/>
        <v>9</v>
      </c>
      <c r="K8" s="83">
        <f t="shared" si="2"/>
        <v>4.365287235900122</v>
      </c>
      <c r="L8" s="59">
        <f t="shared" si="3"/>
        <v>-3.7670200234206757</v>
      </c>
      <c r="M8" s="56">
        <f t="shared" si="4"/>
        <v>7.8448014989757819</v>
      </c>
      <c r="N8" s="11">
        <v>0</v>
      </c>
      <c r="O8" s="59">
        <f t="shared" si="5"/>
        <v>-2.8291560389171178</v>
      </c>
      <c r="P8" s="56">
        <f t="shared" si="6"/>
        <v>9.0154471099832776</v>
      </c>
      <c r="Q8" s="54">
        <f t="shared" si="7"/>
        <v>4.365287235900122</v>
      </c>
      <c r="R8" s="44">
        <f t="shared" si="8"/>
        <v>3.9401679448496747</v>
      </c>
      <c r="S8" s="8">
        <v>0</v>
      </c>
      <c r="T8" s="9">
        <f>T9+Spacing_row1</f>
        <v>9</v>
      </c>
      <c r="U8" s="66">
        <f>R8*1000/sos</f>
        <v>11.466643224636735</v>
      </c>
      <c r="V8" s="10">
        <f t="shared" si="9"/>
        <v>1.5</v>
      </c>
      <c r="W8" s="10">
        <f t="shared" si="10"/>
        <v>10.221650324186482</v>
      </c>
      <c r="X8" s="3">
        <f t="shared" si="11"/>
        <v>18.448392137104271</v>
      </c>
      <c r="Y8" s="64">
        <v>-4</v>
      </c>
      <c r="Z8" s="29">
        <f>IF(Spkr_in_row1&gt;=9,1,0)</f>
        <v>0</v>
      </c>
      <c r="AF8" s="40" t="s">
        <v>27</v>
      </c>
      <c r="AG8" s="95">
        <f>AG6*(1/2)</f>
        <v>85.905000000000001</v>
      </c>
      <c r="AH8" s="41">
        <f>AH6*(1/2)</f>
        <v>75.637981683895333</v>
      </c>
      <c r="AI8" s="92">
        <f>AI6*(1/2)</f>
        <v>74.750332906202885</v>
      </c>
      <c r="AJ8" t="s">
        <v>6</v>
      </c>
    </row>
    <row r="9" spans="1:38" x14ac:dyDescent="0.2">
      <c r="B9" s="242"/>
      <c r="C9" s="72">
        <f>IF(MOD(Spkr_in_row1,2)=1,3,4)</f>
        <v>4</v>
      </c>
      <c r="D9" s="12">
        <f>D10+Single_splay</f>
        <v>39.9</v>
      </c>
      <c r="E9" s="48">
        <f t="shared" si="12"/>
        <v>0.69638637154573746</v>
      </c>
      <c r="F9" s="84">
        <v>0</v>
      </c>
      <c r="G9" s="85">
        <f>G10+Spacing_row1</f>
        <v>7</v>
      </c>
      <c r="H9" s="86">
        <v>0</v>
      </c>
      <c r="I9" s="82">
        <f t="shared" si="0"/>
        <v>1.5</v>
      </c>
      <c r="J9" s="82">
        <f t="shared" si="1"/>
        <v>7</v>
      </c>
      <c r="K9" s="83">
        <f t="shared" si="2"/>
        <v>4.365287235900122</v>
      </c>
      <c r="L9" s="59">
        <f t="shared" si="3"/>
        <v>-2.3404305481671202</v>
      </c>
      <c r="M9" s="56">
        <f t="shared" si="4"/>
        <v>6.4477818700235705</v>
      </c>
      <c r="N9" s="11">
        <v>0</v>
      </c>
      <c r="O9" s="59">
        <f t="shared" si="5"/>
        <v>-1.1896828204441707</v>
      </c>
      <c r="P9" s="56">
        <f t="shared" si="6"/>
        <v>7.4099563173773069</v>
      </c>
      <c r="Q9" s="54">
        <f t="shared" si="7"/>
        <v>4.365287235900122</v>
      </c>
      <c r="R9" s="44">
        <f t="shared" si="8"/>
        <v>2.4046954097907101</v>
      </c>
      <c r="S9" s="8">
        <v>0</v>
      </c>
      <c r="T9" s="9">
        <f>T10+Spacing_row1</f>
        <v>7</v>
      </c>
      <c r="U9" s="66">
        <f>R9*1000/sos</f>
        <v>6.9981241190580006</v>
      </c>
      <c r="V9" s="10">
        <f t="shared" si="9"/>
        <v>1.5</v>
      </c>
      <c r="W9" s="10">
        <f t="shared" si="10"/>
        <v>7.9501724743672639</v>
      </c>
      <c r="X9" s="3">
        <f t="shared" si="11"/>
        <v>12.688277309112046</v>
      </c>
      <c r="Y9" s="64">
        <v>-2.2999999999999998</v>
      </c>
      <c r="Z9" s="29">
        <f>IF(Spkr_in_row1&gt;=7,1,0)</f>
        <v>0</v>
      </c>
      <c r="AG9" s="96"/>
      <c r="AI9" s="7"/>
    </row>
    <row r="10" spans="1:38" x14ac:dyDescent="0.2">
      <c r="B10" s="242"/>
      <c r="C10" s="72">
        <f>IF(MOD(Spkr_in_row1,2)=1,2,3)</f>
        <v>3</v>
      </c>
      <c r="D10" s="12">
        <f>D11+Single_splay</f>
        <v>28.5</v>
      </c>
      <c r="E10" s="48">
        <f t="shared" si="12"/>
        <v>0.49741883681838395</v>
      </c>
      <c r="F10" s="84">
        <v>0</v>
      </c>
      <c r="G10" s="85">
        <f>G11+Spacing_row1</f>
        <v>5</v>
      </c>
      <c r="H10" s="86">
        <v>0</v>
      </c>
      <c r="I10" s="82">
        <f t="shared" si="0"/>
        <v>1.5</v>
      </c>
      <c r="J10" s="82">
        <f t="shared" si="1"/>
        <v>5</v>
      </c>
      <c r="K10" s="83">
        <f t="shared" si="2"/>
        <v>4.365287235900122</v>
      </c>
      <c r="L10" s="59">
        <f t="shared" si="3"/>
        <v>-1.2181171918734606</v>
      </c>
      <c r="M10" s="56">
        <f t="shared" si="4"/>
        <v>4.7963479158895135</v>
      </c>
      <c r="N10" s="11">
        <v>0</v>
      </c>
      <c r="O10" s="59">
        <f t="shared" si="5"/>
        <v>0.10010847711948756</v>
      </c>
      <c r="P10" s="56">
        <f t="shared" si="6"/>
        <v>5.5120860562789264</v>
      </c>
      <c r="Q10" s="54">
        <f t="shared" si="7"/>
        <v>4.365287235900122</v>
      </c>
      <c r="R10" s="44">
        <f t="shared" si="8"/>
        <v>1.235023750581433</v>
      </c>
      <c r="S10" s="8">
        <v>0</v>
      </c>
      <c r="T10" s="9">
        <f>T11+Spacing_row1</f>
        <v>5</v>
      </c>
      <c r="U10" s="66">
        <f>R10*1000/sos</f>
        <v>3.5941556096310836</v>
      </c>
      <c r="V10" s="10">
        <f t="shared" si="9"/>
        <v>1.5</v>
      </c>
      <c r="W10" s="10">
        <f t="shared" si="10"/>
        <v>5.6786946245480463</v>
      </c>
      <c r="X10" s="3">
        <f t="shared" si="11"/>
        <v>8.5613861892422687</v>
      </c>
      <c r="Y10" s="64">
        <v>-1.1000000000000001</v>
      </c>
      <c r="Z10" s="29">
        <f>IF(Spkr_in_row1&gt;=5,1,0)</f>
        <v>1</v>
      </c>
      <c r="AF10" s="40" t="s">
        <v>60</v>
      </c>
      <c r="AG10" s="83">
        <f>AG5*(Spkr_in_row1-1)</f>
        <v>10</v>
      </c>
      <c r="AH10" s="3">
        <f>AH5*(Spkr_in_row1-1)</f>
        <v>11.357389249096093</v>
      </c>
      <c r="AI10" s="87">
        <f>AI5*(Spkr_in_row1-1)</f>
        <v>11.49225651045515</v>
      </c>
      <c r="AJ10" t="s">
        <v>1</v>
      </c>
    </row>
    <row r="11" spans="1:38" x14ac:dyDescent="0.2">
      <c r="B11" s="242"/>
      <c r="C11" s="72">
        <f>IF(MOD(Spkr_in_row1,2)=1,1,2)</f>
        <v>2</v>
      </c>
      <c r="D11" s="12">
        <f>D12+Single_splay</f>
        <v>17.100000000000001</v>
      </c>
      <c r="E11" s="48">
        <f t="shared" si="12"/>
        <v>0.29845130209103038</v>
      </c>
      <c r="F11" s="84">
        <v>0</v>
      </c>
      <c r="G11" s="85">
        <f>G12+Spacing_row1</f>
        <v>3</v>
      </c>
      <c r="H11" s="86">
        <v>0</v>
      </c>
      <c r="I11" s="82">
        <f t="shared" si="0"/>
        <v>1.5</v>
      </c>
      <c r="J11" s="82">
        <f t="shared" si="1"/>
        <v>3</v>
      </c>
      <c r="K11" s="83">
        <f t="shared" si="2"/>
        <v>4.365287235900122</v>
      </c>
      <c r="L11" s="59">
        <f t="shared" si="3"/>
        <v>-0.44436380299174871</v>
      </c>
      <c r="M11" s="56">
        <f t="shared" si="4"/>
        <v>2.9556613407833519</v>
      </c>
      <c r="N11" s="11">
        <v>0</v>
      </c>
      <c r="O11" s="59">
        <f t="shared" si="5"/>
        <v>0.98932571920574652</v>
      </c>
      <c r="P11" s="56">
        <f t="shared" si="6"/>
        <v>3.3967218286318079</v>
      </c>
      <c r="Q11" s="54">
        <f t="shared" si="7"/>
        <v>4.365287235900122</v>
      </c>
      <c r="R11" s="44">
        <f t="shared" si="8"/>
        <v>0.44657038203447808</v>
      </c>
      <c r="S11" s="8">
        <v>0</v>
      </c>
      <c r="T11" s="9">
        <f>T12+Spacing_row1</f>
        <v>3</v>
      </c>
      <c r="U11" s="66">
        <f>R11*1000/sos</f>
        <v>1.2996053257507656</v>
      </c>
      <c r="V11" s="10">
        <f t="shared" si="9"/>
        <v>1.5</v>
      </c>
      <c r="W11" s="10">
        <f t="shared" si="10"/>
        <v>3.4072167747288273</v>
      </c>
      <c r="X11" s="3">
        <f t="shared" si="11"/>
        <v>5.8667942132121231</v>
      </c>
      <c r="Y11" s="64">
        <v>-0.4</v>
      </c>
      <c r="Z11" s="29">
        <f>IF(Spkr_in_row1&gt;=3,1,0)</f>
        <v>1</v>
      </c>
      <c r="AB11" s="135" t="s">
        <v>80</v>
      </c>
      <c r="AC11" s="177">
        <f>IF(OR('EndFire Helper'!S29&lt;=0,'EndFire Helper'!S30&lt;=0),"all",('EndFire Helper'!S24*'EndFire Helper'!S25)/('EndFire Helper'!S30*'EndFire Helper'!S29))</f>
        <v>1.4196736561370115E-2</v>
      </c>
      <c r="AD11" s="135" t="s">
        <v>78</v>
      </c>
      <c r="AE11" s="188"/>
      <c r="AF11" s="40" t="s">
        <v>25</v>
      </c>
      <c r="AG11" s="94">
        <f>sos/AG10</f>
        <v>34.362000000000002</v>
      </c>
      <c r="AH11" s="37">
        <f>sos/AH10</f>
        <v>30.255192673558131</v>
      </c>
      <c r="AI11" s="91">
        <f>sos/AI10</f>
        <v>29.900133162481158</v>
      </c>
      <c r="AJ11" t="s">
        <v>6</v>
      </c>
    </row>
    <row r="12" spans="1:38" x14ac:dyDescent="0.2">
      <c r="B12" s="242"/>
      <c r="C12" s="72">
        <f>IF(MOD(Spkr_in_row1,2)=1,"C",1)</f>
        <v>1</v>
      </c>
      <c r="D12" s="12">
        <f>IF(MOD(Spkr_in_row1,2)=0, Single_splay/2, 0)+ArrayDirection</f>
        <v>5.7</v>
      </c>
      <c r="E12" s="48">
        <f t="shared" si="12"/>
        <v>9.9483767363676784E-2</v>
      </c>
      <c r="F12" s="84">
        <v>0</v>
      </c>
      <c r="G12" s="85">
        <f>IF(MOD(Spkr_in_row1,2)=0, ABS(Spacing_row1/2), 0)</f>
        <v>1</v>
      </c>
      <c r="H12" s="86">
        <v>0</v>
      </c>
      <c r="I12" s="82">
        <f t="shared" si="0"/>
        <v>1.5</v>
      </c>
      <c r="J12" s="82">
        <f>G12</f>
        <v>1</v>
      </c>
      <c r="K12" s="83">
        <f t="shared" si="2"/>
        <v>4.365287235900122</v>
      </c>
      <c r="L12" s="59">
        <f>ABS(AcC_virtual)*COS($E12)+AcC_virtual</f>
        <v>-4.9700872512181249E-2</v>
      </c>
      <c r="M12" s="56">
        <f>ABS(AcC_virtual)*SIN($E12)</f>
        <v>0.99835131273790434</v>
      </c>
      <c r="N12" s="11">
        <v>0</v>
      </c>
      <c r="O12" s="59">
        <f t="shared" si="5"/>
        <v>1.442882482429658</v>
      </c>
      <c r="P12" s="56">
        <f t="shared" si="6"/>
        <v>1.1473309373533629</v>
      </c>
      <c r="Q12" s="54">
        <f t="shared" si="7"/>
        <v>4.365287235900122</v>
      </c>
      <c r="R12" s="44">
        <f t="shared" si="8"/>
        <v>4.9728210285111707E-2</v>
      </c>
      <c r="S12" s="8">
        <v>0</v>
      </c>
      <c r="T12" s="9">
        <f>IF(MOD(Spkr_in_row1,2)=0, ABS(Spacing_row1/2), 0)</f>
        <v>1</v>
      </c>
      <c r="U12" s="66">
        <f>ROUND(R12*1000/sos,0)</f>
        <v>0</v>
      </c>
      <c r="V12" s="10">
        <f t="shared" si="9"/>
        <v>1.5</v>
      </c>
      <c r="W12" s="10">
        <f t="shared" si="10"/>
        <v>1.1357389249096093</v>
      </c>
      <c r="X12" s="3">
        <f t="shared" si="11"/>
        <v>4.3869783434006822</v>
      </c>
      <c r="Y12" s="64">
        <v>0</v>
      </c>
      <c r="Z12" s="29">
        <f>IF(Spkr_in_row1&gt;=1,1,0)</f>
        <v>1</v>
      </c>
    </row>
    <row r="13" spans="1:38" x14ac:dyDescent="0.2">
      <c r="B13" s="242" t="s">
        <v>36</v>
      </c>
      <c r="C13" s="73">
        <v>1</v>
      </c>
      <c r="D13" s="13">
        <f t="shared" ref="D13:D18" si="13">D12-Single_splay</f>
        <v>-5.7</v>
      </c>
      <c r="E13" s="48">
        <f t="shared" si="12"/>
        <v>-9.9483767363676784E-2</v>
      </c>
      <c r="F13" s="14">
        <f>F12</f>
        <v>0</v>
      </c>
      <c r="G13" s="15">
        <f>-G12</f>
        <v>-1</v>
      </c>
      <c r="H13" s="67">
        <f>H12</f>
        <v>0</v>
      </c>
      <c r="I13" s="15">
        <f>I12</f>
        <v>1.5</v>
      </c>
      <c r="J13" s="15">
        <f>-J12</f>
        <v>-1</v>
      </c>
      <c r="K13" s="69">
        <f>K12</f>
        <v>4.365287235900122</v>
      </c>
      <c r="L13" s="59">
        <f>ABS(AcC_virtual)*COS($E13)+AcC_virtual</f>
        <v>-4.9700872512181249E-2</v>
      </c>
      <c r="M13" s="56">
        <f>ABS(AcC_virtual)*SIN($E13)</f>
        <v>-0.99835131273790434</v>
      </c>
      <c r="N13" s="11">
        <v>0</v>
      </c>
      <c r="O13" s="59">
        <f t="shared" si="5"/>
        <v>1.442882482429658</v>
      </c>
      <c r="P13" s="56">
        <f t="shared" si="6"/>
        <v>-1.1473309373533629</v>
      </c>
      <c r="Q13" s="54">
        <f t="shared" si="7"/>
        <v>4.365287235900122</v>
      </c>
      <c r="R13" s="44">
        <f>POWER((POWER((S13-L13),2)+POWER((T13-M13),2)),0.5)</f>
        <v>4.9728210285111707E-2</v>
      </c>
      <c r="S13" s="14">
        <f>S12</f>
        <v>0</v>
      </c>
      <c r="T13" s="171">
        <f t="shared" ref="T13:T18" si="14">T12-Spacing_row1</f>
        <v>-1</v>
      </c>
      <c r="U13" s="66">
        <f>IF(MOD(Spkr_in_row1,2)=1,R13*1000/sos,ROUND(R13*1000/sos,0))</f>
        <v>0</v>
      </c>
      <c r="V13" s="15">
        <f>V12</f>
        <v>1.5</v>
      </c>
      <c r="W13" s="10">
        <f t="shared" si="10"/>
        <v>-1.1357389249096093</v>
      </c>
      <c r="X13" s="3">
        <f t="shared" si="11"/>
        <v>4.3869783434006822</v>
      </c>
      <c r="Y13" s="60">
        <f>Y12</f>
        <v>0</v>
      </c>
      <c r="Z13" s="29">
        <f>IF(Spkr_in_row1&gt;=2,1,0)</f>
        <v>1</v>
      </c>
      <c r="AB13" s="2" t="s">
        <v>39</v>
      </c>
    </row>
    <row r="14" spans="1:38" x14ac:dyDescent="0.2">
      <c r="B14" s="242"/>
      <c r="C14" s="73">
        <v>2</v>
      </c>
      <c r="D14" s="13">
        <f t="shared" si="13"/>
        <v>-17.100000000000001</v>
      </c>
      <c r="E14" s="48">
        <f t="shared" si="12"/>
        <v>-0.29845130209103038</v>
      </c>
      <c r="F14" s="14">
        <f>F11</f>
        <v>0</v>
      </c>
      <c r="G14" s="15">
        <f>-G11</f>
        <v>-3</v>
      </c>
      <c r="H14" s="67">
        <f>H11</f>
        <v>0</v>
      </c>
      <c r="I14" s="15">
        <f>I11</f>
        <v>1.5</v>
      </c>
      <c r="J14" s="15">
        <f>-J11</f>
        <v>-3</v>
      </c>
      <c r="K14" s="69">
        <f>K11</f>
        <v>4.365287235900122</v>
      </c>
      <c r="L14" s="59">
        <f t="shared" si="3"/>
        <v>-0.44436380299174871</v>
      </c>
      <c r="M14" s="56">
        <f t="shared" si="4"/>
        <v>-2.9556613407833519</v>
      </c>
      <c r="N14" s="11">
        <v>0</v>
      </c>
      <c r="O14" s="59">
        <f t="shared" si="5"/>
        <v>0.98932571920574652</v>
      </c>
      <c r="P14" s="56">
        <f t="shared" si="6"/>
        <v>-3.3967218286318079</v>
      </c>
      <c r="Q14" s="54">
        <f t="shared" si="7"/>
        <v>4.365287235900122</v>
      </c>
      <c r="R14" s="44">
        <f t="shared" si="8"/>
        <v>0.44657038203447808</v>
      </c>
      <c r="S14" s="14">
        <f>S11</f>
        <v>0</v>
      </c>
      <c r="T14" s="171">
        <f t="shared" si="14"/>
        <v>-3</v>
      </c>
      <c r="U14" s="66">
        <f>R14*1000/sos</f>
        <v>1.2996053257507656</v>
      </c>
      <c r="V14" s="15">
        <f>V11</f>
        <v>1.5</v>
      </c>
      <c r="W14" s="10">
        <f t="shared" si="10"/>
        <v>-3.4072167747288273</v>
      </c>
      <c r="X14" s="3">
        <f t="shared" si="11"/>
        <v>5.8667942132121231</v>
      </c>
      <c r="Y14" s="60">
        <f>Y11</f>
        <v>-0.4</v>
      </c>
      <c r="Z14" s="29">
        <f>IF(Spkr_in_row1&gt;=4,1,0)</f>
        <v>1</v>
      </c>
      <c r="AB14" t="s">
        <v>21</v>
      </c>
      <c r="AC14" s="42">
        <f>IF(Spkr_in_row1=1,1,ArrayAngle/(Spkr_in_row1-1))</f>
        <v>11.4</v>
      </c>
      <c r="AD14" t="s">
        <v>17</v>
      </c>
    </row>
    <row r="15" spans="1:38" x14ac:dyDescent="0.2">
      <c r="B15" s="242"/>
      <c r="C15" s="73">
        <v>3</v>
      </c>
      <c r="D15" s="13">
        <f t="shared" si="13"/>
        <v>-28.5</v>
      </c>
      <c r="E15" s="48">
        <f t="shared" si="12"/>
        <v>-0.49741883681838395</v>
      </c>
      <c r="F15" s="14">
        <f>F10</f>
        <v>0</v>
      </c>
      <c r="G15" s="15">
        <f>-G10</f>
        <v>-5</v>
      </c>
      <c r="H15" s="67">
        <f>H10</f>
        <v>0</v>
      </c>
      <c r="I15" s="15">
        <f>I10</f>
        <v>1.5</v>
      </c>
      <c r="J15" s="15">
        <f>-J10</f>
        <v>-5</v>
      </c>
      <c r="K15" s="69">
        <f>K10</f>
        <v>4.365287235900122</v>
      </c>
      <c r="L15" s="59">
        <f t="shared" si="3"/>
        <v>-1.2181171918734606</v>
      </c>
      <c r="M15" s="56">
        <f t="shared" si="4"/>
        <v>-4.7963479158895135</v>
      </c>
      <c r="N15" s="11">
        <v>0</v>
      </c>
      <c r="O15" s="59">
        <f t="shared" si="5"/>
        <v>0.10010847711948756</v>
      </c>
      <c r="P15" s="56">
        <f t="shared" si="6"/>
        <v>-5.5120860562789264</v>
      </c>
      <c r="Q15" s="54">
        <f t="shared" si="7"/>
        <v>4.365287235900122</v>
      </c>
      <c r="R15" s="44">
        <f t="shared" si="8"/>
        <v>1.235023750581433</v>
      </c>
      <c r="S15" s="14">
        <f>S10</f>
        <v>0</v>
      </c>
      <c r="T15" s="171">
        <f t="shared" si="14"/>
        <v>-5</v>
      </c>
      <c r="U15" s="66">
        <f>R15*1000/sos</f>
        <v>3.5941556096310836</v>
      </c>
      <c r="V15" s="15">
        <f>V10</f>
        <v>1.5</v>
      </c>
      <c r="W15" s="10">
        <f t="shared" si="10"/>
        <v>-5.6786946245480463</v>
      </c>
      <c r="X15" s="3">
        <f t="shared" si="11"/>
        <v>8.5613861892422687</v>
      </c>
      <c r="Y15" s="60">
        <f>Y10</f>
        <v>-1.1000000000000001</v>
      </c>
      <c r="Z15" s="29">
        <f>IF(Spkr_in_row1&gt;=6,1,0)</f>
        <v>1</v>
      </c>
      <c r="AB15" t="s">
        <v>40</v>
      </c>
      <c r="AC15" s="39">
        <f>-Spacing_row1/RADIANS(Single_splay)</f>
        <v>-10.051891142646021</v>
      </c>
      <c r="AD15" t="s">
        <v>1</v>
      </c>
    </row>
    <row r="16" spans="1:38" x14ac:dyDescent="0.2">
      <c r="B16" s="242"/>
      <c r="C16" s="73">
        <v>4</v>
      </c>
      <c r="D16" s="13">
        <f t="shared" si="13"/>
        <v>-39.9</v>
      </c>
      <c r="E16" s="48">
        <f t="shared" si="12"/>
        <v>-0.69638637154573746</v>
      </c>
      <c r="F16" s="14">
        <f>F9</f>
        <v>0</v>
      </c>
      <c r="G16" s="15">
        <f>-G9</f>
        <v>-7</v>
      </c>
      <c r="H16" s="67">
        <f>H9</f>
        <v>0</v>
      </c>
      <c r="I16" s="15">
        <f>I9</f>
        <v>1.5</v>
      </c>
      <c r="J16" s="15">
        <f>-J9</f>
        <v>-7</v>
      </c>
      <c r="K16" s="69">
        <f>K9</f>
        <v>4.365287235900122</v>
      </c>
      <c r="L16" s="59">
        <f t="shared" si="3"/>
        <v>-2.3404305481671202</v>
      </c>
      <c r="M16" s="56">
        <f t="shared" si="4"/>
        <v>-6.4477818700235705</v>
      </c>
      <c r="N16" s="11">
        <v>0</v>
      </c>
      <c r="O16" s="59">
        <f t="shared" si="5"/>
        <v>-1.1896828204441707</v>
      </c>
      <c r="P16" s="56">
        <f t="shared" si="6"/>
        <v>-7.4099563173773069</v>
      </c>
      <c r="Q16" s="54">
        <f t="shared" si="7"/>
        <v>4.365287235900122</v>
      </c>
      <c r="R16" s="44">
        <f t="shared" si="8"/>
        <v>2.4046954097907101</v>
      </c>
      <c r="S16" s="14">
        <f>S9</f>
        <v>0</v>
      </c>
      <c r="T16" s="171">
        <f t="shared" si="14"/>
        <v>-7</v>
      </c>
      <c r="U16" s="66">
        <f>R16*1000/sos</f>
        <v>6.9981241190580006</v>
      </c>
      <c r="V16" s="15">
        <f>V9</f>
        <v>1.5</v>
      </c>
      <c r="W16" s="10">
        <f t="shared" si="10"/>
        <v>-7.9501724743672639</v>
      </c>
      <c r="X16" s="3">
        <f t="shared" si="11"/>
        <v>12.688277309112046</v>
      </c>
      <c r="Y16" s="60">
        <f>Y9</f>
        <v>-2.2999999999999998</v>
      </c>
      <c r="Z16" s="29">
        <f>IF(Spkr_in_row1&gt;=8,1,0)</f>
        <v>0</v>
      </c>
      <c r="AB16" t="s">
        <v>29</v>
      </c>
      <c r="AC16" s="39">
        <f>-((Spkr_in_row1*Spacing_row1)/2)/TAN(RADIANS(ArrayAngle/2))</f>
        <v>-11.050625316200749</v>
      </c>
      <c r="AD16" t="s">
        <v>1</v>
      </c>
      <c r="AL16"/>
    </row>
    <row r="17" spans="2:47" x14ac:dyDescent="0.2">
      <c r="B17" s="242"/>
      <c r="C17" s="73">
        <v>5</v>
      </c>
      <c r="D17" s="13">
        <f t="shared" si="13"/>
        <v>-51.3</v>
      </c>
      <c r="E17" s="48">
        <f t="shared" si="12"/>
        <v>-0.89535390627309097</v>
      </c>
      <c r="F17" s="14">
        <f>F8</f>
        <v>0</v>
      </c>
      <c r="G17" s="15">
        <f>-G8</f>
        <v>-9</v>
      </c>
      <c r="H17" s="67">
        <f>H8</f>
        <v>0</v>
      </c>
      <c r="I17" s="15">
        <f>I8</f>
        <v>1.5</v>
      </c>
      <c r="J17" s="15">
        <f>-J8</f>
        <v>-9</v>
      </c>
      <c r="K17" s="69">
        <f>K8</f>
        <v>4.365287235900122</v>
      </c>
      <c r="L17" s="59">
        <f t="shared" si="3"/>
        <v>-3.7670200234206757</v>
      </c>
      <c r="M17" s="56">
        <f t="shared" si="4"/>
        <v>-7.8448014989757819</v>
      </c>
      <c r="N17" s="11">
        <v>0</v>
      </c>
      <c r="O17" s="59">
        <f t="shared" si="5"/>
        <v>-2.8291560389171178</v>
      </c>
      <c r="P17" s="56">
        <f t="shared" si="6"/>
        <v>-9.0154471099832776</v>
      </c>
      <c r="Q17" s="54">
        <f t="shared" si="7"/>
        <v>4.365287235900122</v>
      </c>
      <c r="R17" s="44">
        <f t="shared" si="8"/>
        <v>3.9401679448496747</v>
      </c>
      <c r="S17" s="14">
        <f>S8</f>
        <v>0</v>
      </c>
      <c r="T17" s="171">
        <f t="shared" si="14"/>
        <v>-9</v>
      </c>
      <c r="U17" s="66">
        <f>R17*1000/sos</f>
        <v>11.466643224636735</v>
      </c>
      <c r="V17" s="15">
        <f>V8</f>
        <v>1.5</v>
      </c>
      <c r="W17" s="10">
        <f t="shared" si="10"/>
        <v>-10.221650324186482</v>
      </c>
      <c r="X17" s="3">
        <f>((1000*(distance/COS(E17)))/sos)+U17</f>
        <v>18.448392137104271</v>
      </c>
      <c r="Y17" s="60">
        <f>Y8</f>
        <v>-4</v>
      </c>
      <c r="Z17" s="29">
        <f>IF(Spkr_in_row1&gt;=10,1,0)</f>
        <v>0</v>
      </c>
    </row>
    <row r="18" spans="2:47" x14ac:dyDescent="0.2">
      <c r="B18" s="244"/>
      <c r="C18" s="74">
        <v>6</v>
      </c>
      <c r="D18" s="13">
        <f t="shared" si="13"/>
        <v>-62.699999999999996</v>
      </c>
      <c r="E18" s="48">
        <f t="shared" si="12"/>
        <v>-1.0943214410004445</v>
      </c>
      <c r="F18" s="16">
        <f>F7</f>
        <v>0</v>
      </c>
      <c r="G18" s="17">
        <f>-G7</f>
        <v>-11</v>
      </c>
      <c r="H18" s="68">
        <f>H7</f>
        <v>0</v>
      </c>
      <c r="I18" s="17">
        <f>I7</f>
        <v>1.5</v>
      </c>
      <c r="J18" s="17">
        <f>-J7</f>
        <v>-11</v>
      </c>
      <c r="K18" s="70">
        <f>K7</f>
        <v>4.365287235900122</v>
      </c>
      <c r="L18" s="59">
        <f t="shared" si="3"/>
        <v>-5.4415957483465904</v>
      </c>
      <c r="M18" s="56">
        <f t="shared" si="4"/>
        <v>-8.9322836901268978</v>
      </c>
      <c r="N18" s="11">
        <v>0</v>
      </c>
      <c r="O18" s="59">
        <f t="shared" si="5"/>
        <v>-4.7536214166201178</v>
      </c>
      <c r="P18" s="56">
        <f t="shared" si="6"/>
        <v>-10.265209539109321</v>
      </c>
      <c r="Q18" s="54">
        <f t="shared" si="7"/>
        <v>4.365287235900122</v>
      </c>
      <c r="R18" s="44">
        <f t="shared" si="8"/>
        <v>5.8212039155606741</v>
      </c>
      <c r="S18" s="16">
        <f>S7</f>
        <v>0</v>
      </c>
      <c r="T18" s="171">
        <f t="shared" si="14"/>
        <v>-11</v>
      </c>
      <c r="U18" s="66">
        <f>R18*1000/sos</f>
        <v>16.940818100112551</v>
      </c>
      <c r="V18" s="17">
        <f>V7</f>
        <v>1.5</v>
      </c>
      <c r="W18" s="10">
        <f t="shared" si="10"/>
        <v>-12.493128174005701</v>
      </c>
      <c r="X18" s="3">
        <f>((1000*(distance/COS(E18)))/sos)+U18</f>
        <v>26.458514548784031</v>
      </c>
      <c r="Y18" s="61">
        <f>Y7</f>
        <v>-6.5</v>
      </c>
      <c r="Z18" s="36">
        <f>IF(Spkr_in_row1&gt;=12,1,0)</f>
        <v>0</v>
      </c>
      <c r="AB18" t="s">
        <v>44</v>
      </c>
      <c r="AC18" s="147">
        <f>RADIANS(OffsetRotDG)</f>
        <v>0</v>
      </c>
      <c r="AD18" t="s">
        <v>75</v>
      </c>
    </row>
    <row r="19" spans="2:47" x14ac:dyDescent="0.2">
      <c r="C19" s="75"/>
      <c r="AJ19" s="4"/>
      <c r="AK19" s="4"/>
    </row>
    <row r="21" spans="2:47" x14ac:dyDescent="0.2">
      <c r="B21" s="2" t="s">
        <v>54</v>
      </c>
    </row>
    <row r="22" spans="2:47" x14ac:dyDescent="0.2">
      <c r="B22" s="240" t="s">
        <v>34</v>
      </c>
      <c r="C22" s="241"/>
      <c r="D22" s="55"/>
      <c r="E22" s="55"/>
      <c r="F22" s="252" t="s">
        <v>58</v>
      </c>
      <c r="G22" s="253"/>
      <c r="H22" s="254"/>
      <c r="I22" s="252" t="s">
        <v>59</v>
      </c>
      <c r="J22" s="253"/>
      <c r="K22" s="254"/>
      <c r="L22" s="250" t="s">
        <v>41</v>
      </c>
      <c r="M22" s="249"/>
      <c r="N22" s="261"/>
      <c r="O22" s="249" t="s">
        <v>42</v>
      </c>
      <c r="P22" s="249"/>
      <c r="Q22" s="249"/>
      <c r="R22" s="62"/>
      <c r="S22" s="262" t="s">
        <v>18</v>
      </c>
      <c r="T22" s="263"/>
      <c r="U22" s="264"/>
      <c r="V22" s="262" t="s">
        <v>19</v>
      </c>
      <c r="W22" s="263"/>
      <c r="X22" s="264"/>
      <c r="Y22" s="45"/>
      <c r="Z22" s="260"/>
    </row>
    <row r="23" spans="2:47" x14ac:dyDescent="0.2">
      <c r="B23" s="242"/>
      <c r="C23" s="243"/>
      <c r="D23" s="256" t="s">
        <v>22</v>
      </c>
      <c r="E23" s="256"/>
      <c r="F23" s="76" t="s">
        <v>32</v>
      </c>
      <c r="G23" s="77" t="s">
        <v>31</v>
      </c>
      <c r="H23" s="78" t="s">
        <v>9</v>
      </c>
      <c r="I23" s="76" t="s">
        <v>32</v>
      </c>
      <c r="J23" s="77" t="s">
        <v>31</v>
      </c>
      <c r="K23" s="78" t="s">
        <v>9</v>
      </c>
      <c r="L23" s="23" t="s">
        <v>32</v>
      </c>
      <c r="M23" s="24" t="s">
        <v>31</v>
      </c>
      <c r="N23" s="25" t="s">
        <v>9</v>
      </c>
      <c r="O23" s="24" t="s">
        <v>32</v>
      </c>
      <c r="P23" s="24" t="s">
        <v>31</v>
      </c>
      <c r="Q23" s="25" t="s">
        <v>9</v>
      </c>
      <c r="R23" s="23" t="s">
        <v>33</v>
      </c>
      <c r="S23" s="167" t="s">
        <v>32</v>
      </c>
      <c r="T23" s="168" t="s">
        <v>31</v>
      </c>
      <c r="U23" s="169" t="s">
        <v>9</v>
      </c>
      <c r="V23" s="167" t="s">
        <v>32</v>
      </c>
      <c r="W23" s="168" t="s">
        <v>31</v>
      </c>
      <c r="X23" s="169" t="s">
        <v>9</v>
      </c>
      <c r="Y23" s="45"/>
      <c r="Z23" s="256"/>
    </row>
    <row r="24" spans="2:47" x14ac:dyDescent="0.2">
      <c r="B24" s="244"/>
      <c r="C24" s="245"/>
      <c r="D24" s="27" t="s">
        <v>20</v>
      </c>
      <c r="E24" s="27" t="s">
        <v>28</v>
      </c>
      <c r="F24" s="76" t="s">
        <v>15</v>
      </c>
      <c r="G24" s="77" t="s">
        <v>15</v>
      </c>
      <c r="H24" s="78" t="s">
        <v>2</v>
      </c>
      <c r="I24" s="88" t="s">
        <v>15</v>
      </c>
      <c r="J24" s="89" t="s">
        <v>15</v>
      </c>
      <c r="K24" s="78" t="s">
        <v>2</v>
      </c>
      <c r="L24" s="23" t="s">
        <v>15</v>
      </c>
      <c r="M24" s="24" t="s">
        <v>15</v>
      </c>
      <c r="N24" s="25" t="s">
        <v>2</v>
      </c>
      <c r="O24" s="24" t="s">
        <v>15</v>
      </c>
      <c r="P24" s="24" t="s">
        <v>15</v>
      </c>
      <c r="Q24" s="25" t="s">
        <v>2</v>
      </c>
      <c r="R24" s="23" t="s">
        <v>15</v>
      </c>
      <c r="S24" s="167" t="s">
        <v>15</v>
      </c>
      <c r="T24" s="168" t="s">
        <v>15</v>
      </c>
      <c r="U24" s="169" t="s">
        <v>2</v>
      </c>
      <c r="V24" s="167" t="s">
        <v>15</v>
      </c>
      <c r="W24" s="168" t="s">
        <v>15</v>
      </c>
      <c r="X24" s="169" t="s">
        <v>2</v>
      </c>
      <c r="Y24" s="45"/>
      <c r="Z24" s="256"/>
      <c r="AF24"/>
      <c r="AJ24"/>
      <c r="AN24"/>
      <c r="AR24"/>
    </row>
    <row r="25" spans="2:47" x14ac:dyDescent="0.2">
      <c r="B25" s="255" t="s">
        <v>35</v>
      </c>
      <c r="C25" s="98">
        <f>IF(MOD(Spkr_in_row1,2)=1,5,6)</f>
        <v>6</v>
      </c>
      <c r="D25" s="157">
        <f t="shared" ref="D25:D36" si="15">(D7*RotateSpkr/100)+MOD(OffsetRotDG,360)</f>
        <v>62.7</v>
      </c>
      <c r="E25" s="178"/>
      <c r="F25" s="182">
        <f t="shared" ref="F25:F36" si="16">COS(OffsetRot)*F7-SIN(OffsetRot)*G7+offsetX</f>
        <v>0</v>
      </c>
      <c r="G25" s="80">
        <f t="shared" ref="G25:G36" si="17">SIN(OffsetRot)*F7+COS(OffsetRot)*G7+offsetY</f>
        <v>11</v>
      </c>
      <c r="H25" s="81">
        <f t="shared" ref="H25:H36" si="18">H7+offsetT</f>
        <v>0</v>
      </c>
      <c r="I25" s="79">
        <f t="shared" ref="I25:I36" si="19">COS(OffsetRot)*I7-SIN(OffsetRot)*J7+offsetX</f>
        <v>1.5</v>
      </c>
      <c r="J25" s="80">
        <f t="shared" ref="J25:J36" si="20">SIN(OffsetRot)*I7+COS(OffsetRot)*J7+offsetY</f>
        <v>11</v>
      </c>
      <c r="K25" s="81">
        <f t="shared" ref="K25:K36" si="21">K7+offsetT</f>
        <v>4.365287235900122</v>
      </c>
      <c r="L25" s="58">
        <f t="shared" ref="L25:L36" si="22">COS(OffsetRot)*L7-SIN(OffsetRot)*M7+offsetX</f>
        <v>-5.4415957483465904</v>
      </c>
      <c r="M25" s="162">
        <f t="shared" ref="M25:M36" si="23">SIN(OffsetRot)*L7+COS(OffsetRot)*M7+offsetY</f>
        <v>8.9322836901268978</v>
      </c>
      <c r="N25" s="163">
        <f t="shared" ref="N25:N36" si="24">N7+offsetT</f>
        <v>0</v>
      </c>
      <c r="O25" s="58">
        <f t="shared" ref="O25:O36" si="25">COS(OffsetRot)*O7-SIN(OffsetRot)*P7+offsetX</f>
        <v>-4.7536214166201178</v>
      </c>
      <c r="P25" s="162">
        <f t="shared" ref="P25:P36" si="26">SIN(OffsetRot)*O7+COS(OffsetRot)*P7+offsetY</f>
        <v>10.265209539109321</v>
      </c>
      <c r="Q25" s="163">
        <f t="shared" ref="Q25:Q36" si="27">Q7+offsetT</f>
        <v>4.365287235900122</v>
      </c>
      <c r="R25" s="43">
        <f t="shared" ref="R25:R30" si="28">POWER((POWER((S25-L25),2)+POWER((T25-M25),2)),0.5)</f>
        <v>5.8212039155606741</v>
      </c>
      <c r="S25" s="150">
        <f t="shared" ref="S25:S36" si="29">COS(OffsetRot)*S7-SIN(OffsetRot)*T7+offsetX</f>
        <v>0</v>
      </c>
      <c r="T25" s="170">
        <f t="shared" ref="T25:T36" si="30">SIN(OffsetRot)*S7+COS(OffsetRot)*T7+offsetY</f>
        <v>11</v>
      </c>
      <c r="U25" s="151">
        <f t="shared" ref="U25:U36" si="31">U7+offsetT</f>
        <v>16.940818100112551</v>
      </c>
      <c r="V25" s="150">
        <f t="shared" ref="V25:V36" si="32">COS(OffsetRot)*V7-SIN(OffsetRot)*W7+offsetX</f>
        <v>1.5</v>
      </c>
      <c r="W25" s="170">
        <f t="shared" ref="W25:W36" si="33">SIN(OffsetRot)*V7+COS(OffsetRot)*W7+offsetY</f>
        <v>12.493128174005701</v>
      </c>
      <c r="X25" s="151">
        <f t="shared" ref="X25:X36" si="34">X7+offsetT</f>
        <v>26.458514548784031</v>
      </c>
      <c r="AE25"/>
      <c r="AF25"/>
      <c r="AG25"/>
      <c r="AH25"/>
      <c r="AJ25"/>
      <c r="AK25"/>
      <c r="AL25"/>
      <c r="AN25"/>
      <c r="AO25"/>
      <c r="AP25"/>
      <c r="AQ25"/>
      <c r="AR25"/>
      <c r="AS25"/>
      <c r="AT25"/>
      <c r="AU25"/>
    </row>
    <row r="26" spans="2:47" x14ac:dyDescent="0.2">
      <c r="B26" s="242"/>
      <c r="C26" s="99">
        <f>IF(MOD(Spkr_in_row1,2)=1,4,5)</f>
        <v>5</v>
      </c>
      <c r="D26" s="158">
        <f t="shared" si="15"/>
        <v>51.3</v>
      </c>
      <c r="E26" s="179"/>
      <c r="F26" s="82">
        <f t="shared" si="16"/>
        <v>0</v>
      </c>
      <c r="G26" s="85">
        <f t="shared" si="17"/>
        <v>9</v>
      </c>
      <c r="H26" s="86">
        <f t="shared" si="18"/>
        <v>0</v>
      </c>
      <c r="I26" s="84">
        <f t="shared" si="19"/>
        <v>1.5</v>
      </c>
      <c r="J26" s="85">
        <f t="shared" si="20"/>
        <v>9</v>
      </c>
      <c r="K26" s="86">
        <f t="shared" si="21"/>
        <v>4.365287235900122</v>
      </c>
      <c r="L26" s="59">
        <f t="shared" si="22"/>
        <v>-3.7670200234206757</v>
      </c>
      <c r="M26" s="164">
        <f t="shared" si="23"/>
        <v>7.8448014989757819</v>
      </c>
      <c r="N26" s="102">
        <f t="shared" si="24"/>
        <v>0</v>
      </c>
      <c r="O26" s="59">
        <f t="shared" si="25"/>
        <v>-2.8291560389171178</v>
      </c>
      <c r="P26" s="164">
        <f t="shared" si="26"/>
        <v>9.0154471099832776</v>
      </c>
      <c r="Q26" s="102">
        <f t="shared" si="27"/>
        <v>4.365287235900122</v>
      </c>
      <c r="R26" s="44">
        <f t="shared" si="28"/>
        <v>3.9401679448496747</v>
      </c>
      <c r="S26" s="152">
        <f t="shared" si="29"/>
        <v>0</v>
      </c>
      <c r="T26" s="171">
        <f t="shared" si="30"/>
        <v>9</v>
      </c>
      <c r="U26" s="153">
        <f t="shared" si="31"/>
        <v>11.466643224636735</v>
      </c>
      <c r="V26" s="152">
        <f t="shared" si="32"/>
        <v>1.5</v>
      </c>
      <c r="W26" s="171">
        <f t="shared" si="33"/>
        <v>10.221650324186482</v>
      </c>
      <c r="X26" s="153">
        <f t="shared" si="34"/>
        <v>18.448392137104271</v>
      </c>
      <c r="AE26" s="6"/>
      <c r="AF26" s="5"/>
      <c r="AG26" s="5"/>
      <c r="AH26" s="5"/>
      <c r="AI26" s="6"/>
      <c r="AJ26" s="5"/>
      <c r="AK26" s="5"/>
      <c r="AL26" s="5"/>
      <c r="AM26" s="6"/>
      <c r="AN26" s="5"/>
      <c r="AO26" s="5"/>
      <c r="AP26" s="5"/>
      <c r="AQ26" s="6"/>
      <c r="AR26" s="5"/>
      <c r="AS26" s="5"/>
      <c r="AT26" s="5"/>
      <c r="AU26" s="6"/>
    </row>
    <row r="27" spans="2:47" x14ac:dyDescent="0.2">
      <c r="B27" s="242"/>
      <c r="C27" s="99">
        <f>IF(MOD(Spkr_in_row1,2)=1,3,4)</f>
        <v>4</v>
      </c>
      <c r="D27" s="158">
        <f t="shared" si="15"/>
        <v>39.9</v>
      </c>
      <c r="E27" s="179"/>
      <c r="F27" s="82">
        <f t="shared" si="16"/>
        <v>0</v>
      </c>
      <c r="G27" s="85">
        <f t="shared" si="17"/>
        <v>7</v>
      </c>
      <c r="H27" s="86">
        <f t="shared" si="18"/>
        <v>0</v>
      </c>
      <c r="I27" s="84">
        <f t="shared" si="19"/>
        <v>1.5</v>
      </c>
      <c r="J27" s="85">
        <f t="shared" si="20"/>
        <v>7</v>
      </c>
      <c r="K27" s="86">
        <f t="shared" si="21"/>
        <v>4.365287235900122</v>
      </c>
      <c r="L27" s="59">
        <f t="shared" si="22"/>
        <v>-2.3404305481671202</v>
      </c>
      <c r="M27" s="164">
        <f t="shared" si="23"/>
        <v>6.4477818700235705</v>
      </c>
      <c r="N27" s="102">
        <f t="shared" si="24"/>
        <v>0</v>
      </c>
      <c r="O27" s="59">
        <f t="shared" si="25"/>
        <v>-1.1896828204441707</v>
      </c>
      <c r="P27" s="164">
        <f t="shared" si="26"/>
        <v>7.4099563173773069</v>
      </c>
      <c r="Q27" s="102">
        <f t="shared" si="27"/>
        <v>4.365287235900122</v>
      </c>
      <c r="R27" s="44">
        <f t="shared" si="28"/>
        <v>2.4046954097907101</v>
      </c>
      <c r="S27" s="152">
        <f t="shared" si="29"/>
        <v>0</v>
      </c>
      <c r="T27" s="171">
        <f t="shared" si="30"/>
        <v>7</v>
      </c>
      <c r="U27" s="153">
        <f t="shared" si="31"/>
        <v>6.9981241190580006</v>
      </c>
      <c r="V27" s="152">
        <f t="shared" si="32"/>
        <v>1.5</v>
      </c>
      <c r="W27" s="171">
        <f t="shared" si="33"/>
        <v>7.9501724743672639</v>
      </c>
      <c r="X27" s="153">
        <f t="shared" si="34"/>
        <v>12.688277309112046</v>
      </c>
      <c r="AB27" s="5"/>
      <c r="AC27" s="5"/>
      <c r="AD27" s="5"/>
      <c r="AE27" s="6"/>
      <c r="AF27" s="5"/>
      <c r="AG27" s="5"/>
      <c r="AH27" s="5"/>
      <c r="AI27" s="6"/>
      <c r="AJ27" s="5"/>
      <c r="AK27" s="5"/>
      <c r="AL27" s="5"/>
      <c r="AM27" s="6"/>
      <c r="AN27" s="5"/>
      <c r="AO27" s="5"/>
      <c r="AP27" s="5"/>
      <c r="AQ27" s="6"/>
      <c r="AR27" s="5"/>
      <c r="AS27" s="5"/>
      <c r="AT27" s="5"/>
      <c r="AU27" s="6"/>
    </row>
    <row r="28" spans="2:47" x14ac:dyDescent="0.2">
      <c r="B28" s="242"/>
      <c r="C28" s="99">
        <f>IF(MOD(Spkr_in_row1,2)=1,2,3)</f>
        <v>3</v>
      </c>
      <c r="D28" s="158">
        <f t="shared" si="15"/>
        <v>28.5</v>
      </c>
      <c r="E28" s="179"/>
      <c r="F28" s="82">
        <f t="shared" si="16"/>
        <v>0</v>
      </c>
      <c r="G28" s="85">
        <f t="shared" si="17"/>
        <v>5</v>
      </c>
      <c r="H28" s="86">
        <f t="shared" si="18"/>
        <v>0</v>
      </c>
      <c r="I28" s="84">
        <f t="shared" si="19"/>
        <v>1.5</v>
      </c>
      <c r="J28" s="85">
        <f t="shared" si="20"/>
        <v>5</v>
      </c>
      <c r="K28" s="86">
        <f t="shared" si="21"/>
        <v>4.365287235900122</v>
      </c>
      <c r="L28" s="59">
        <f t="shared" si="22"/>
        <v>-1.2181171918734606</v>
      </c>
      <c r="M28" s="164">
        <f t="shared" si="23"/>
        <v>4.7963479158895135</v>
      </c>
      <c r="N28" s="102">
        <f t="shared" si="24"/>
        <v>0</v>
      </c>
      <c r="O28" s="59">
        <f t="shared" si="25"/>
        <v>0.10010847711948756</v>
      </c>
      <c r="P28" s="164">
        <f t="shared" si="26"/>
        <v>5.5120860562789264</v>
      </c>
      <c r="Q28" s="102">
        <f t="shared" si="27"/>
        <v>4.365287235900122</v>
      </c>
      <c r="R28" s="44">
        <f t="shared" si="28"/>
        <v>1.235023750581433</v>
      </c>
      <c r="S28" s="152">
        <f t="shared" si="29"/>
        <v>0</v>
      </c>
      <c r="T28" s="171">
        <f t="shared" si="30"/>
        <v>5</v>
      </c>
      <c r="U28" s="153">
        <f t="shared" si="31"/>
        <v>3.5941556096310836</v>
      </c>
      <c r="V28" s="152">
        <f t="shared" si="32"/>
        <v>1.5</v>
      </c>
      <c r="W28" s="171">
        <f t="shared" si="33"/>
        <v>5.6786946245480463</v>
      </c>
      <c r="X28" s="153">
        <f t="shared" si="34"/>
        <v>8.5613861892422687</v>
      </c>
      <c r="AB28" s="5"/>
      <c r="AC28" s="5"/>
      <c r="AD28" s="5"/>
      <c r="AE28" s="6"/>
      <c r="AF28" s="5"/>
      <c r="AG28" s="5"/>
      <c r="AH28" s="5"/>
      <c r="AI28" s="6"/>
      <c r="AJ28" s="5"/>
      <c r="AK28" s="5"/>
      <c r="AL28" s="5"/>
      <c r="AM28" s="6"/>
      <c r="AN28" s="5"/>
      <c r="AO28" s="5"/>
      <c r="AP28" s="5"/>
      <c r="AQ28" s="6"/>
      <c r="AR28" s="5"/>
      <c r="AS28" s="5"/>
      <c r="AT28" s="5"/>
      <c r="AU28" s="6"/>
    </row>
    <row r="29" spans="2:47" x14ac:dyDescent="0.2">
      <c r="B29" s="242"/>
      <c r="C29" s="99">
        <f>IF(MOD(Spkr_in_row1,2)=1,1,2)</f>
        <v>2</v>
      </c>
      <c r="D29" s="158">
        <f t="shared" si="15"/>
        <v>17.100000000000001</v>
      </c>
      <c r="E29" s="179"/>
      <c r="F29" s="82">
        <f t="shared" si="16"/>
        <v>0</v>
      </c>
      <c r="G29" s="85">
        <f t="shared" si="17"/>
        <v>3</v>
      </c>
      <c r="H29" s="86">
        <f t="shared" si="18"/>
        <v>0</v>
      </c>
      <c r="I29" s="84">
        <f t="shared" si="19"/>
        <v>1.5</v>
      </c>
      <c r="J29" s="85">
        <f t="shared" si="20"/>
        <v>3</v>
      </c>
      <c r="K29" s="86">
        <f t="shared" si="21"/>
        <v>4.365287235900122</v>
      </c>
      <c r="L29" s="59">
        <f t="shared" si="22"/>
        <v>-0.44436380299174871</v>
      </c>
      <c r="M29" s="164">
        <f t="shared" si="23"/>
        <v>2.9556613407833519</v>
      </c>
      <c r="N29" s="102">
        <f t="shared" si="24"/>
        <v>0</v>
      </c>
      <c r="O29" s="59">
        <f t="shared" si="25"/>
        <v>0.98932571920574652</v>
      </c>
      <c r="P29" s="164">
        <f t="shared" si="26"/>
        <v>3.3967218286318079</v>
      </c>
      <c r="Q29" s="102">
        <f t="shared" si="27"/>
        <v>4.365287235900122</v>
      </c>
      <c r="R29" s="44">
        <f t="shared" si="28"/>
        <v>0.44657038203447808</v>
      </c>
      <c r="S29" s="152">
        <f t="shared" si="29"/>
        <v>0</v>
      </c>
      <c r="T29" s="171">
        <f t="shared" si="30"/>
        <v>3</v>
      </c>
      <c r="U29" s="153">
        <f t="shared" si="31"/>
        <v>1.2996053257507656</v>
      </c>
      <c r="V29" s="152">
        <f t="shared" si="32"/>
        <v>1.5</v>
      </c>
      <c r="W29" s="171">
        <f t="shared" si="33"/>
        <v>3.4072167747288273</v>
      </c>
      <c r="X29" s="153">
        <f t="shared" si="34"/>
        <v>5.8667942132121231</v>
      </c>
      <c r="AB29" s="5"/>
      <c r="AC29" s="5"/>
      <c r="AD29" s="5"/>
      <c r="AE29" s="6"/>
      <c r="AF29" s="5"/>
      <c r="AG29" s="5"/>
      <c r="AH29" s="5"/>
      <c r="AI29" s="6"/>
      <c r="AJ29" s="5"/>
      <c r="AK29" s="5"/>
      <c r="AL29" s="5"/>
      <c r="AM29" s="6"/>
      <c r="AN29" s="5"/>
      <c r="AO29" s="5"/>
      <c r="AP29" s="5"/>
      <c r="AQ29" s="6"/>
      <c r="AR29" s="5"/>
      <c r="AS29" s="5"/>
      <c r="AT29" s="5"/>
      <c r="AU29" s="6"/>
    </row>
    <row r="30" spans="2:47" x14ac:dyDescent="0.2">
      <c r="B30" s="242"/>
      <c r="C30" s="99">
        <f>IF(MOD(Spkr_in_row1,2)=1,"C",1)</f>
        <v>1</v>
      </c>
      <c r="D30" s="158">
        <f t="shared" si="15"/>
        <v>5.7</v>
      </c>
      <c r="E30" s="179"/>
      <c r="F30" s="82">
        <f t="shared" si="16"/>
        <v>0</v>
      </c>
      <c r="G30" s="85">
        <f t="shared" si="17"/>
        <v>1</v>
      </c>
      <c r="H30" s="86">
        <f t="shared" si="18"/>
        <v>0</v>
      </c>
      <c r="I30" s="84">
        <f t="shared" si="19"/>
        <v>1.5</v>
      </c>
      <c r="J30" s="85">
        <f t="shared" si="20"/>
        <v>1</v>
      </c>
      <c r="K30" s="86">
        <f t="shared" si="21"/>
        <v>4.365287235900122</v>
      </c>
      <c r="L30" s="59">
        <f t="shared" si="22"/>
        <v>-4.9700872512181249E-2</v>
      </c>
      <c r="M30" s="164">
        <f t="shared" si="23"/>
        <v>0.99835131273790434</v>
      </c>
      <c r="N30" s="102">
        <f t="shared" si="24"/>
        <v>0</v>
      </c>
      <c r="O30" s="59">
        <f t="shared" si="25"/>
        <v>1.442882482429658</v>
      </c>
      <c r="P30" s="164">
        <f t="shared" si="26"/>
        <v>1.1473309373533629</v>
      </c>
      <c r="Q30" s="102">
        <f t="shared" si="27"/>
        <v>4.365287235900122</v>
      </c>
      <c r="R30" s="44">
        <f t="shared" si="28"/>
        <v>4.9728210285111707E-2</v>
      </c>
      <c r="S30" s="152">
        <f t="shared" si="29"/>
        <v>0</v>
      </c>
      <c r="T30" s="171">
        <f t="shared" si="30"/>
        <v>1</v>
      </c>
      <c r="U30" s="153">
        <f t="shared" si="31"/>
        <v>0</v>
      </c>
      <c r="V30" s="152">
        <f t="shared" si="32"/>
        <v>1.5</v>
      </c>
      <c r="W30" s="171">
        <f t="shared" si="33"/>
        <v>1.1357389249096093</v>
      </c>
      <c r="X30" s="153">
        <f t="shared" si="34"/>
        <v>4.3869783434006822</v>
      </c>
      <c r="AB30" s="5"/>
      <c r="AC30" s="5"/>
      <c r="AD30" s="5"/>
      <c r="AE30" s="6"/>
      <c r="AF30" s="5"/>
      <c r="AG30" s="5"/>
      <c r="AH30" s="5"/>
      <c r="AI30" s="6"/>
      <c r="AJ30" s="5"/>
      <c r="AK30" s="5"/>
      <c r="AL30" s="5"/>
      <c r="AM30" s="6"/>
      <c r="AN30" s="5"/>
      <c r="AO30" s="5"/>
      <c r="AP30" s="5"/>
      <c r="AQ30" s="6"/>
      <c r="AR30" s="5"/>
      <c r="AS30" s="5"/>
      <c r="AT30" s="5"/>
      <c r="AU30" s="6"/>
    </row>
    <row r="31" spans="2:47" x14ac:dyDescent="0.2">
      <c r="B31" s="242" t="s">
        <v>36</v>
      </c>
      <c r="C31" s="100">
        <f>C30</f>
        <v>1</v>
      </c>
      <c r="D31" s="158">
        <f t="shared" si="15"/>
        <v>-5.7</v>
      </c>
      <c r="E31" s="180"/>
      <c r="F31" s="82">
        <f t="shared" si="16"/>
        <v>0</v>
      </c>
      <c r="G31" s="85">
        <f t="shared" si="17"/>
        <v>-1</v>
      </c>
      <c r="H31" s="86">
        <f t="shared" si="18"/>
        <v>0</v>
      </c>
      <c r="I31" s="84">
        <f t="shared" si="19"/>
        <v>1.5</v>
      </c>
      <c r="J31" s="85">
        <f t="shared" si="20"/>
        <v>-1</v>
      </c>
      <c r="K31" s="86">
        <f t="shared" si="21"/>
        <v>4.365287235900122</v>
      </c>
      <c r="L31" s="59">
        <f t="shared" si="22"/>
        <v>-4.9700872512181249E-2</v>
      </c>
      <c r="M31" s="164">
        <f t="shared" si="23"/>
        <v>-0.99835131273790434</v>
      </c>
      <c r="N31" s="102">
        <f t="shared" si="24"/>
        <v>0</v>
      </c>
      <c r="O31" s="59">
        <f t="shared" si="25"/>
        <v>1.442882482429658</v>
      </c>
      <c r="P31" s="164">
        <f t="shared" si="26"/>
        <v>-1.1473309373533629</v>
      </c>
      <c r="Q31" s="102">
        <f t="shared" si="27"/>
        <v>4.365287235900122</v>
      </c>
      <c r="R31" s="49"/>
      <c r="S31" s="152">
        <f t="shared" si="29"/>
        <v>0</v>
      </c>
      <c r="T31" s="171">
        <f t="shared" si="30"/>
        <v>-1</v>
      </c>
      <c r="U31" s="153">
        <f t="shared" si="31"/>
        <v>0</v>
      </c>
      <c r="V31" s="152">
        <f t="shared" si="32"/>
        <v>1.5</v>
      </c>
      <c r="W31" s="171">
        <f t="shared" si="33"/>
        <v>-1.1357389249096093</v>
      </c>
      <c r="X31" s="153">
        <f t="shared" si="34"/>
        <v>4.3869783434006822</v>
      </c>
      <c r="Y31" s="156"/>
      <c r="AB31" s="5"/>
      <c r="AC31" s="5"/>
      <c r="AD31" s="5"/>
      <c r="AE31" s="6"/>
      <c r="AF31" s="5"/>
      <c r="AG31" s="5"/>
      <c r="AH31" s="5"/>
      <c r="AI31" s="6"/>
      <c r="AJ31" s="5"/>
      <c r="AK31" s="5"/>
      <c r="AL31" s="5"/>
      <c r="AM31" s="6"/>
      <c r="AN31" s="5"/>
      <c r="AO31" s="5"/>
      <c r="AP31" s="5"/>
      <c r="AQ31" s="6"/>
      <c r="AR31" s="5"/>
      <c r="AS31" s="5"/>
      <c r="AT31" s="5"/>
      <c r="AU31" s="6"/>
    </row>
    <row r="32" spans="2:47" x14ac:dyDescent="0.2">
      <c r="B32" s="242"/>
      <c r="C32" s="100">
        <f>C29</f>
        <v>2</v>
      </c>
      <c r="D32" s="158">
        <f t="shared" si="15"/>
        <v>-17.100000000000001</v>
      </c>
      <c r="E32" s="180"/>
      <c r="F32" s="82">
        <f t="shared" si="16"/>
        <v>0</v>
      </c>
      <c r="G32" s="85">
        <f t="shared" si="17"/>
        <v>-3</v>
      </c>
      <c r="H32" s="86">
        <f t="shared" si="18"/>
        <v>0</v>
      </c>
      <c r="I32" s="84">
        <f t="shared" si="19"/>
        <v>1.5</v>
      </c>
      <c r="J32" s="85">
        <f t="shared" si="20"/>
        <v>-3</v>
      </c>
      <c r="K32" s="86">
        <f t="shared" si="21"/>
        <v>4.365287235900122</v>
      </c>
      <c r="L32" s="59">
        <f t="shared" si="22"/>
        <v>-0.44436380299174871</v>
      </c>
      <c r="M32" s="164">
        <f t="shared" si="23"/>
        <v>-2.9556613407833519</v>
      </c>
      <c r="N32" s="102">
        <f t="shared" si="24"/>
        <v>0</v>
      </c>
      <c r="O32" s="59">
        <f t="shared" si="25"/>
        <v>0.98932571920574652</v>
      </c>
      <c r="P32" s="164">
        <f t="shared" si="26"/>
        <v>-3.3967218286318079</v>
      </c>
      <c r="Q32" s="102">
        <f t="shared" si="27"/>
        <v>4.365287235900122</v>
      </c>
      <c r="R32" s="49"/>
      <c r="S32" s="152">
        <f t="shared" si="29"/>
        <v>0</v>
      </c>
      <c r="T32" s="171">
        <f t="shared" si="30"/>
        <v>-3</v>
      </c>
      <c r="U32" s="153">
        <f t="shared" si="31"/>
        <v>1.2996053257507656</v>
      </c>
      <c r="V32" s="152">
        <f t="shared" si="32"/>
        <v>1.5</v>
      </c>
      <c r="W32" s="171">
        <f t="shared" si="33"/>
        <v>-3.4072167747288273</v>
      </c>
      <c r="X32" s="153">
        <f t="shared" si="34"/>
        <v>5.8667942132121231</v>
      </c>
      <c r="Y32" s="156"/>
      <c r="AB32" s="5"/>
      <c r="AC32" s="5"/>
      <c r="AD32" s="5"/>
      <c r="AF32" s="5"/>
      <c r="AG32" s="5"/>
      <c r="AH32" s="5"/>
      <c r="AJ32" s="5"/>
      <c r="AK32" s="5"/>
      <c r="AL32" s="5"/>
      <c r="AN32" s="5"/>
      <c r="AO32" s="5"/>
      <c r="AP32" s="5"/>
      <c r="AR32" s="5"/>
      <c r="AS32" s="5"/>
      <c r="AT32" s="5"/>
    </row>
    <row r="33" spans="2:46" x14ac:dyDescent="0.2">
      <c r="B33" s="242"/>
      <c r="C33" s="100">
        <f>C28</f>
        <v>3</v>
      </c>
      <c r="D33" s="158">
        <f t="shared" si="15"/>
        <v>-28.5</v>
      </c>
      <c r="E33" s="180"/>
      <c r="F33" s="82">
        <f t="shared" si="16"/>
        <v>0</v>
      </c>
      <c r="G33" s="85">
        <f t="shared" si="17"/>
        <v>-5</v>
      </c>
      <c r="H33" s="86">
        <f t="shared" si="18"/>
        <v>0</v>
      </c>
      <c r="I33" s="84">
        <f t="shared" si="19"/>
        <v>1.5</v>
      </c>
      <c r="J33" s="85">
        <f t="shared" si="20"/>
        <v>-5</v>
      </c>
      <c r="K33" s="86">
        <f t="shared" si="21"/>
        <v>4.365287235900122</v>
      </c>
      <c r="L33" s="59">
        <f t="shared" si="22"/>
        <v>-1.2181171918734606</v>
      </c>
      <c r="M33" s="164">
        <f t="shared" si="23"/>
        <v>-4.7963479158895135</v>
      </c>
      <c r="N33" s="102">
        <f t="shared" si="24"/>
        <v>0</v>
      </c>
      <c r="O33" s="59">
        <f t="shared" si="25"/>
        <v>0.10010847711948756</v>
      </c>
      <c r="P33" s="164">
        <f t="shared" si="26"/>
        <v>-5.5120860562789264</v>
      </c>
      <c r="Q33" s="102">
        <f t="shared" si="27"/>
        <v>4.365287235900122</v>
      </c>
      <c r="R33" s="49"/>
      <c r="S33" s="152">
        <f t="shared" si="29"/>
        <v>0</v>
      </c>
      <c r="T33" s="171">
        <f t="shared" si="30"/>
        <v>-5</v>
      </c>
      <c r="U33" s="153">
        <f t="shared" si="31"/>
        <v>3.5941556096310836</v>
      </c>
      <c r="V33" s="152">
        <f t="shared" si="32"/>
        <v>1.5</v>
      </c>
      <c r="W33" s="171">
        <f t="shared" si="33"/>
        <v>-5.6786946245480463</v>
      </c>
      <c r="X33" s="153">
        <f t="shared" si="34"/>
        <v>8.5613861892422687</v>
      </c>
      <c r="Y33" s="156"/>
      <c r="AB33" s="5"/>
      <c r="AC33" s="5"/>
      <c r="AD33" s="5"/>
      <c r="AF33" s="5"/>
      <c r="AG33" s="5"/>
      <c r="AH33" s="5"/>
      <c r="AJ33" s="5"/>
      <c r="AK33" s="5"/>
      <c r="AL33" s="5"/>
      <c r="AN33" s="5"/>
      <c r="AO33" s="5"/>
      <c r="AP33" s="5"/>
      <c r="AR33" s="5"/>
      <c r="AS33" s="5"/>
      <c r="AT33" s="5"/>
    </row>
    <row r="34" spans="2:46" x14ac:dyDescent="0.2">
      <c r="B34" s="242"/>
      <c r="C34" s="100">
        <f>C27</f>
        <v>4</v>
      </c>
      <c r="D34" s="158">
        <f t="shared" si="15"/>
        <v>-39.9</v>
      </c>
      <c r="E34" s="180"/>
      <c r="F34" s="82">
        <f t="shared" si="16"/>
        <v>0</v>
      </c>
      <c r="G34" s="85">
        <f t="shared" si="17"/>
        <v>-7</v>
      </c>
      <c r="H34" s="86">
        <f t="shared" si="18"/>
        <v>0</v>
      </c>
      <c r="I34" s="84">
        <f t="shared" si="19"/>
        <v>1.5</v>
      </c>
      <c r="J34" s="85">
        <f t="shared" si="20"/>
        <v>-7</v>
      </c>
      <c r="K34" s="86">
        <f t="shared" si="21"/>
        <v>4.365287235900122</v>
      </c>
      <c r="L34" s="59">
        <f t="shared" si="22"/>
        <v>-2.3404305481671202</v>
      </c>
      <c r="M34" s="164">
        <f t="shared" si="23"/>
        <v>-6.4477818700235705</v>
      </c>
      <c r="N34" s="102">
        <f t="shared" si="24"/>
        <v>0</v>
      </c>
      <c r="O34" s="59">
        <f t="shared" si="25"/>
        <v>-1.1896828204441707</v>
      </c>
      <c r="P34" s="164">
        <f t="shared" si="26"/>
        <v>-7.4099563173773069</v>
      </c>
      <c r="Q34" s="102">
        <f t="shared" si="27"/>
        <v>4.365287235900122</v>
      </c>
      <c r="R34" s="49"/>
      <c r="S34" s="152">
        <f t="shared" si="29"/>
        <v>0</v>
      </c>
      <c r="T34" s="171">
        <f t="shared" si="30"/>
        <v>-7</v>
      </c>
      <c r="U34" s="153">
        <f t="shared" si="31"/>
        <v>6.9981241190580006</v>
      </c>
      <c r="V34" s="152">
        <f t="shared" si="32"/>
        <v>1.5</v>
      </c>
      <c r="W34" s="171">
        <f t="shared" si="33"/>
        <v>-7.9501724743672639</v>
      </c>
      <c r="X34" s="153">
        <f t="shared" si="34"/>
        <v>12.688277309112046</v>
      </c>
      <c r="Y34" s="156"/>
      <c r="AB34" s="5"/>
      <c r="AC34" s="5"/>
      <c r="AD34" s="5"/>
      <c r="AF34" s="5"/>
      <c r="AG34" s="5"/>
      <c r="AH34" s="5"/>
      <c r="AJ34" s="5"/>
      <c r="AK34" s="5"/>
      <c r="AL34" s="5"/>
      <c r="AN34" s="5"/>
      <c r="AO34" s="5"/>
      <c r="AP34" s="5"/>
      <c r="AR34" s="5"/>
      <c r="AS34" s="5"/>
      <c r="AT34" s="5"/>
    </row>
    <row r="35" spans="2:46" x14ac:dyDescent="0.2">
      <c r="B35" s="242"/>
      <c r="C35" s="100">
        <f>C26</f>
        <v>5</v>
      </c>
      <c r="D35" s="158">
        <f t="shared" si="15"/>
        <v>-51.3</v>
      </c>
      <c r="E35" s="180"/>
      <c r="F35" s="82">
        <f t="shared" si="16"/>
        <v>0</v>
      </c>
      <c r="G35" s="85">
        <f t="shared" si="17"/>
        <v>-9</v>
      </c>
      <c r="H35" s="86">
        <f t="shared" si="18"/>
        <v>0</v>
      </c>
      <c r="I35" s="84">
        <f t="shared" si="19"/>
        <v>1.5</v>
      </c>
      <c r="J35" s="85">
        <f t="shared" si="20"/>
        <v>-9</v>
      </c>
      <c r="K35" s="86">
        <f t="shared" si="21"/>
        <v>4.365287235900122</v>
      </c>
      <c r="L35" s="59">
        <f t="shared" si="22"/>
        <v>-3.7670200234206757</v>
      </c>
      <c r="M35" s="164">
        <f t="shared" si="23"/>
        <v>-7.8448014989757819</v>
      </c>
      <c r="N35" s="102">
        <f t="shared" si="24"/>
        <v>0</v>
      </c>
      <c r="O35" s="59">
        <f t="shared" si="25"/>
        <v>-2.8291560389171178</v>
      </c>
      <c r="P35" s="164">
        <f t="shared" si="26"/>
        <v>-9.0154471099832776</v>
      </c>
      <c r="Q35" s="102">
        <f t="shared" si="27"/>
        <v>4.365287235900122</v>
      </c>
      <c r="R35" s="49"/>
      <c r="S35" s="152">
        <f t="shared" si="29"/>
        <v>0</v>
      </c>
      <c r="T35" s="171">
        <f t="shared" si="30"/>
        <v>-9</v>
      </c>
      <c r="U35" s="153">
        <f t="shared" si="31"/>
        <v>11.466643224636735</v>
      </c>
      <c r="V35" s="152">
        <f t="shared" si="32"/>
        <v>1.5</v>
      </c>
      <c r="W35" s="171">
        <f t="shared" si="33"/>
        <v>-10.221650324186482</v>
      </c>
      <c r="X35" s="153">
        <f t="shared" si="34"/>
        <v>18.448392137104271</v>
      </c>
      <c r="Y35" s="156"/>
      <c r="AB35" s="5"/>
      <c r="AC35" s="5"/>
      <c r="AD35" s="5"/>
      <c r="AF35" s="5"/>
      <c r="AG35" s="5"/>
      <c r="AH35" s="5"/>
      <c r="AJ35" s="5"/>
      <c r="AK35" s="5"/>
      <c r="AL35" s="5"/>
      <c r="AN35" s="5"/>
      <c r="AO35" s="5"/>
      <c r="AP35" s="5"/>
      <c r="AR35" s="5"/>
      <c r="AS35" s="5"/>
      <c r="AT35" s="5"/>
    </row>
    <row r="36" spans="2:46" x14ac:dyDescent="0.2">
      <c r="B36" s="244"/>
      <c r="C36" s="101">
        <f>C25</f>
        <v>6</v>
      </c>
      <c r="D36" s="159">
        <f t="shared" si="15"/>
        <v>-62.7</v>
      </c>
      <c r="E36" s="181"/>
      <c r="F36" s="183">
        <f t="shared" si="16"/>
        <v>0</v>
      </c>
      <c r="G36" s="160">
        <f t="shared" si="17"/>
        <v>-11</v>
      </c>
      <c r="H36" s="161">
        <f t="shared" si="18"/>
        <v>0</v>
      </c>
      <c r="I36" s="148">
        <f t="shared" si="19"/>
        <v>1.5</v>
      </c>
      <c r="J36" s="160">
        <f t="shared" si="20"/>
        <v>-11</v>
      </c>
      <c r="K36" s="161">
        <f t="shared" si="21"/>
        <v>4.365287235900122</v>
      </c>
      <c r="L36" s="149">
        <f t="shared" si="22"/>
        <v>-5.4415957483465904</v>
      </c>
      <c r="M36" s="165">
        <f t="shared" si="23"/>
        <v>-8.9322836901268978</v>
      </c>
      <c r="N36" s="166">
        <f t="shared" si="24"/>
        <v>0</v>
      </c>
      <c r="O36" s="149">
        <f t="shared" si="25"/>
        <v>-4.7536214166201178</v>
      </c>
      <c r="P36" s="165">
        <f t="shared" si="26"/>
        <v>-10.265209539109321</v>
      </c>
      <c r="Q36" s="166">
        <f t="shared" si="27"/>
        <v>4.365287235900122</v>
      </c>
      <c r="R36" s="52"/>
      <c r="S36" s="154">
        <f t="shared" si="29"/>
        <v>0</v>
      </c>
      <c r="T36" s="172">
        <f t="shared" si="30"/>
        <v>-11</v>
      </c>
      <c r="U36" s="155">
        <f t="shared" si="31"/>
        <v>16.940818100112551</v>
      </c>
      <c r="V36" s="154">
        <f t="shared" si="32"/>
        <v>1.5</v>
      </c>
      <c r="W36" s="172">
        <f t="shared" si="33"/>
        <v>-12.493128174005701</v>
      </c>
      <c r="X36" s="155">
        <f t="shared" si="34"/>
        <v>26.458514548784031</v>
      </c>
      <c r="Y36" s="156"/>
      <c r="AB36" s="5"/>
      <c r="AC36" s="5"/>
      <c r="AD36" s="5"/>
      <c r="AF36" s="5"/>
      <c r="AG36" s="5"/>
      <c r="AH36" s="5"/>
      <c r="AJ36" s="5"/>
      <c r="AK36" s="5"/>
      <c r="AL36" s="5"/>
      <c r="AN36" s="5"/>
      <c r="AO36" s="5"/>
      <c r="AP36" s="5"/>
      <c r="AR36" s="5"/>
      <c r="AS36" s="5"/>
      <c r="AT36" s="5"/>
    </row>
    <row r="37" spans="2:46" x14ac:dyDescent="0.2">
      <c r="AB37" s="5"/>
      <c r="AC37" s="5"/>
      <c r="AD37" s="5"/>
      <c r="AF37" s="5"/>
      <c r="AG37" s="5"/>
      <c r="AH37" s="5"/>
      <c r="AJ37" s="5"/>
      <c r="AK37" s="5"/>
      <c r="AL37" s="5"/>
      <c r="AN37" s="5"/>
      <c r="AO37" s="5"/>
      <c r="AP37" s="5"/>
      <c r="AR37" s="5"/>
      <c r="AS37" s="5"/>
      <c r="AT37" s="5"/>
    </row>
    <row r="38" spans="2:46" x14ac:dyDescent="0.2">
      <c r="AB38" s="5"/>
      <c r="AC38" s="5"/>
    </row>
    <row r="39" spans="2:46" x14ac:dyDescent="0.2">
      <c r="B39" s="2" t="s">
        <v>76</v>
      </c>
      <c r="L39" s="198"/>
      <c r="M39" s="204" t="s">
        <v>84</v>
      </c>
      <c r="N39" s="198"/>
      <c r="O39" s="199"/>
      <c r="P39" s="198"/>
      <c r="Q39" s="198"/>
      <c r="R39" s="198"/>
      <c r="S39" s="198"/>
      <c r="T39" s="198"/>
      <c r="AB39" s="5"/>
      <c r="AC39" s="5"/>
    </row>
    <row r="40" spans="2:46" x14ac:dyDescent="0.2">
      <c r="B40" s="240" t="s">
        <v>34</v>
      </c>
      <c r="C40" s="251"/>
      <c r="D40" s="250" t="s">
        <v>69</v>
      </c>
      <c r="E40" s="251"/>
      <c r="F40" s="241"/>
      <c r="G40" s="255" t="s">
        <v>70</v>
      </c>
      <c r="H40" s="251"/>
      <c r="I40" s="241"/>
      <c r="J40" s="22"/>
      <c r="L40" s="198"/>
      <c r="M40" s="258" t="s">
        <v>18</v>
      </c>
      <c r="N40" s="259"/>
      <c r="O40" s="230"/>
      <c r="P40" s="259" t="s">
        <v>19</v>
      </c>
      <c r="Q40" s="259"/>
      <c r="R40" s="230"/>
      <c r="S40" s="198"/>
      <c r="T40" s="198"/>
      <c r="AB40" s="5"/>
      <c r="AC40" s="5"/>
    </row>
    <row r="41" spans="2:46" x14ac:dyDescent="0.2">
      <c r="B41" s="242"/>
      <c r="C41" s="256"/>
      <c r="D41" s="23" t="s">
        <v>66</v>
      </c>
      <c r="E41" s="24" t="s">
        <v>23</v>
      </c>
      <c r="F41" s="25" t="s">
        <v>73</v>
      </c>
      <c r="G41" s="26" t="s">
        <v>66</v>
      </c>
      <c r="H41" s="27" t="s">
        <v>67</v>
      </c>
      <c r="I41" s="28" t="s">
        <v>73</v>
      </c>
      <c r="J41" s="28" t="s">
        <v>71</v>
      </c>
      <c r="L41" s="198"/>
      <c r="M41" s="114" t="s">
        <v>32</v>
      </c>
      <c r="N41" s="113" t="s">
        <v>31</v>
      </c>
      <c r="O41" s="115"/>
      <c r="P41" s="113" t="s">
        <v>32</v>
      </c>
      <c r="Q41" s="113" t="s">
        <v>31</v>
      </c>
      <c r="R41" s="115"/>
      <c r="S41" s="198"/>
      <c r="T41" s="198"/>
    </row>
    <row r="42" spans="2:46" x14ac:dyDescent="0.2">
      <c r="B42" s="244"/>
      <c r="C42" s="257"/>
      <c r="D42" s="32" t="s">
        <v>15</v>
      </c>
      <c r="E42" s="33" t="s">
        <v>2</v>
      </c>
      <c r="F42" s="34" t="s">
        <v>68</v>
      </c>
      <c r="G42" s="30" t="s">
        <v>15</v>
      </c>
      <c r="H42" s="35" t="s">
        <v>2</v>
      </c>
      <c r="I42" s="31" t="s">
        <v>68</v>
      </c>
      <c r="J42" s="31" t="s">
        <v>72</v>
      </c>
      <c r="L42" s="198"/>
      <c r="M42" s="114" t="s">
        <v>15</v>
      </c>
      <c r="N42" s="113" t="s">
        <v>15</v>
      </c>
      <c r="O42" s="118"/>
      <c r="P42" s="113" t="s">
        <v>15</v>
      </c>
      <c r="Q42" s="113" t="s">
        <v>15</v>
      </c>
      <c r="R42" s="118"/>
      <c r="S42" s="198"/>
      <c r="T42" s="198"/>
    </row>
    <row r="43" spans="2:46" x14ac:dyDescent="0.2">
      <c r="B43" s="255" t="s">
        <v>35</v>
      </c>
      <c r="C43" s="98">
        <f>IF(MOD(Spkr_in_row1,2)=1,5,6)</f>
        <v>6</v>
      </c>
      <c r="D43" s="59">
        <f t="shared" ref="D43:D54" si="35">distance</f>
        <v>1.5</v>
      </c>
      <c r="E43" s="97">
        <f t="shared" ref="E43:E54" si="36">distance*1000/sos</f>
        <v>4.365287235900122</v>
      </c>
      <c r="F43" s="102">
        <f t="shared" ref="F43:F48" si="37">sos/D43/4</f>
        <v>57.27</v>
      </c>
      <c r="G43" s="104">
        <f t="shared" ref="G43:G47" si="38">POWER((POWER((S7-V7),2)+POWER((T7-W7),2)),0.5)</f>
        <v>2.1164668067346577</v>
      </c>
      <c r="H43" s="103">
        <f t="shared" ref="H43:H47" si="39">G43*1000/sos</f>
        <v>6.1593236910967288</v>
      </c>
      <c r="I43" s="66">
        <f t="shared" ref="I43:I54" si="40">sos/G43/4</f>
        <v>40.588871853150657</v>
      </c>
      <c r="J43" s="105">
        <f t="shared" ref="J43:J47" si="41">H43/E43-1</f>
        <v>0.41097787115643869</v>
      </c>
      <c r="L43" s="198"/>
      <c r="M43" s="119">
        <f>IF('EndFire Helper'!E8="",-50,'EndFire Helper'!E8)</f>
        <v>-50</v>
      </c>
      <c r="N43" s="120">
        <f>IF('EndFire Helper'!F8="",0,'EndFire Helper'!F8)</f>
        <v>0</v>
      </c>
      <c r="O43" s="200"/>
      <c r="P43" s="119">
        <f>IF('EndFire Helper'!H8="",-50,'EndFire Helper'!H8)</f>
        <v>-50</v>
      </c>
      <c r="Q43" s="120">
        <f>IF('EndFire Helper'!I8="",0,'EndFire Helper'!I8)</f>
        <v>0</v>
      </c>
      <c r="R43" s="200"/>
      <c r="S43" s="198"/>
      <c r="T43" s="198"/>
    </row>
    <row r="44" spans="2:46" x14ac:dyDescent="0.2">
      <c r="B44" s="242"/>
      <c r="C44" s="99">
        <f>IF(MOD(Spkr_in_row1,2)=1,4,5)</f>
        <v>5</v>
      </c>
      <c r="D44" s="59">
        <f t="shared" si="35"/>
        <v>1.5</v>
      </c>
      <c r="E44" s="97">
        <f t="shared" si="36"/>
        <v>4.365287235900122</v>
      </c>
      <c r="F44" s="102">
        <f t="shared" si="37"/>
        <v>57.27</v>
      </c>
      <c r="G44" s="104">
        <f t="shared" si="38"/>
        <v>1.9345359946470206</v>
      </c>
      <c r="H44" s="103">
        <f t="shared" si="39"/>
        <v>5.6298701898813244</v>
      </c>
      <c r="I44" s="66">
        <f t="shared" si="40"/>
        <v>44.405997219852402</v>
      </c>
      <c r="J44" s="105">
        <f t="shared" si="41"/>
        <v>0.28969066309801383</v>
      </c>
      <c r="L44" s="198"/>
      <c r="M44" s="122">
        <f>IF('EndFire Helper'!E9="",-50,'EndFire Helper'!E9)</f>
        <v>-50</v>
      </c>
      <c r="N44" s="123">
        <f>IF('EndFire Helper'!F9="",0,'EndFire Helper'!F9)</f>
        <v>0</v>
      </c>
      <c r="O44" s="201"/>
      <c r="P44" s="122">
        <f>IF('EndFire Helper'!H9="",-50,'EndFire Helper'!H9)</f>
        <v>-50</v>
      </c>
      <c r="Q44" s="123">
        <f>IF('EndFire Helper'!I9="",0,'EndFire Helper'!I9)</f>
        <v>0</v>
      </c>
      <c r="R44" s="201"/>
      <c r="S44" s="198"/>
      <c r="T44" s="198"/>
    </row>
    <row r="45" spans="2:46" x14ac:dyDescent="0.2">
      <c r="B45" s="242"/>
      <c r="C45" s="99">
        <f>IF(MOD(Spkr_in_row1,2)=1,3,4)</f>
        <v>4</v>
      </c>
      <c r="D45" s="59">
        <f t="shared" si="35"/>
        <v>1.5</v>
      </c>
      <c r="E45" s="97">
        <f t="shared" si="36"/>
        <v>4.365287235900122</v>
      </c>
      <c r="F45" s="102">
        <f t="shared" si="37"/>
        <v>57.27</v>
      </c>
      <c r="G45" s="104">
        <f t="shared" si="38"/>
        <v>1.7756203792041836</v>
      </c>
      <c r="H45" s="103">
        <f t="shared" si="39"/>
        <v>5.167395318096105</v>
      </c>
      <c r="I45" s="66">
        <f t="shared" si="40"/>
        <v>48.380273737622801</v>
      </c>
      <c r="J45" s="105">
        <f t="shared" si="41"/>
        <v>0.18374691946945587</v>
      </c>
      <c r="L45" s="198"/>
      <c r="M45" s="122">
        <f>IF('EndFire Helper'!E10="",-50,'EndFire Helper'!E10)</f>
        <v>-50</v>
      </c>
      <c r="N45" s="123">
        <f>IF('EndFire Helper'!F10="",0,'EndFire Helper'!F10)</f>
        <v>0</v>
      </c>
      <c r="O45" s="201"/>
      <c r="P45" s="122">
        <f>IF('EndFire Helper'!H10="",-50,'EndFire Helper'!H10)</f>
        <v>-50</v>
      </c>
      <c r="Q45" s="123">
        <f>IF('EndFire Helper'!I10="",0,'EndFire Helper'!I10)</f>
        <v>0</v>
      </c>
      <c r="R45" s="201"/>
      <c r="S45" s="198"/>
      <c r="T45" s="198"/>
    </row>
    <row r="46" spans="2:46" x14ac:dyDescent="0.2">
      <c r="B46" s="242"/>
      <c r="C46" s="99">
        <f>IF(MOD(Spkr_in_row1,2)=1,2,3)</f>
        <v>3</v>
      </c>
      <c r="D46" s="59">
        <f t="shared" si="35"/>
        <v>1.5</v>
      </c>
      <c r="E46" s="97">
        <f t="shared" si="36"/>
        <v>4.365287235900122</v>
      </c>
      <c r="F46" s="102">
        <f t="shared" si="37"/>
        <v>57.27</v>
      </c>
      <c r="G46" s="104">
        <f t="shared" si="38"/>
        <v>1.6463980057660461</v>
      </c>
      <c r="H46" s="103">
        <f t="shared" si="39"/>
        <v>4.7913334665212908</v>
      </c>
      <c r="I46" s="66">
        <f t="shared" si="40"/>
        <v>52.17754133517041</v>
      </c>
      <c r="J46" s="105">
        <f t="shared" si="41"/>
        <v>9.7598670510697261E-2</v>
      </c>
      <c r="L46" s="198"/>
      <c r="M46" s="122">
        <f>IF('EndFire Helper'!E11="",-50,'EndFire Helper'!E11)</f>
        <v>0</v>
      </c>
      <c r="N46" s="123">
        <f>IF('EndFire Helper'!F11="",0,'EndFire Helper'!F11)</f>
        <v>5</v>
      </c>
      <c r="O46" s="201"/>
      <c r="P46" s="122">
        <f>IF('EndFire Helper'!H11="",-50,'EndFire Helper'!H11)</f>
        <v>1.5</v>
      </c>
      <c r="Q46" s="123">
        <f>IF('EndFire Helper'!I11="",0,'EndFire Helper'!I11)</f>
        <v>5.6786946245480463</v>
      </c>
      <c r="R46" s="201"/>
      <c r="S46" s="199"/>
      <c r="T46" s="198"/>
    </row>
    <row r="47" spans="2:46" x14ac:dyDescent="0.2">
      <c r="B47" s="242"/>
      <c r="C47" s="99">
        <f>IF(MOD(Spkr_in_row1,2)=1,1,2)</f>
        <v>2</v>
      </c>
      <c r="D47" s="59">
        <f t="shared" si="35"/>
        <v>1.5</v>
      </c>
      <c r="E47" s="97">
        <f t="shared" si="36"/>
        <v>4.365287235900122</v>
      </c>
      <c r="F47" s="102">
        <f t="shared" si="37"/>
        <v>57.27</v>
      </c>
      <c r="G47" s="104">
        <f t="shared" si="38"/>
        <v>1.5542926048915464</v>
      </c>
      <c r="H47" s="103">
        <f t="shared" si="39"/>
        <v>4.5232891126580128</v>
      </c>
      <c r="I47" s="66">
        <f t="shared" si="40"/>
        <v>55.269516003387395</v>
      </c>
      <c r="J47" s="105">
        <f t="shared" si="41"/>
        <v>3.619506992769761E-2</v>
      </c>
      <c r="L47" s="198"/>
      <c r="M47" s="122">
        <f>IF('EndFire Helper'!E12="",-50,'EndFire Helper'!E12)</f>
        <v>0</v>
      </c>
      <c r="N47" s="123">
        <f>IF('EndFire Helper'!F12="",0,'EndFire Helper'!F12)</f>
        <v>3</v>
      </c>
      <c r="O47" s="201"/>
      <c r="P47" s="122">
        <f>IF('EndFire Helper'!H12="",-50,'EndFire Helper'!H12)</f>
        <v>1.5</v>
      </c>
      <c r="Q47" s="123">
        <f>IF('EndFire Helper'!I12="",0,'EndFire Helper'!I12)</f>
        <v>3.4072167747288273</v>
      </c>
      <c r="R47" s="201"/>
      <c r="S47" s="197"/>
      <c r="T47" s="198"/>
    </row>
    <row r="48" spans="2:46" x14ac:dyDescent="0.2">
      <c r="B48" s="242"/>
      <c r="C48" s="99">
        <f>IF(MOD(Spkr_in_row1,2)=1,"C",1)</f>
        <v>1</v>
      </c>
      <c r="D48" s="59">
        <f t="shared" si="35"/>
        <v>1.5</v>
      </c>
      <c r="E48" s="97">
        <f t="shared" si="36"/>
        <v>4.365287235900122</v>
      </c>
      <c r="F48" s="102">
        <f t="shared" si="37"/>
        <v>57.27</v>
      </c>
      <c r="G48" s="104">
        <f t="shared" ref="G48:G54" si="42">POWER((POWER((S12-V12),2)+POWER((T12-W12),2)),0.5)</f>
        <v>1.5061291630320477</v>
      </c>
      <c r="H48" s="103">
        <f t="shared" ref="H48:H54" si="43">G48*1000/sos</f>
        <v>4.3831242740004877</v>
      </c>
      <c r="I48" s="66">
        <f t="shared" si="40"/>
        <v>57.036940860411519</v>
      </c>
      <c r="J48" s="105">
        <f>H48/E48-1</f>
        <v>4.0861086880317199E-3</v>
      </c>
      <c r="L48" s="198"/>
      <c r="M48" s="122">
        <f>IF('EndFire Helper'!E13="",-50,'EndFire Helper'!E13)</f>
        <v>0</v>
      </c>
      <c r="N48" s="123">
        <f>IF('EndFire Helper'!F13="",0,'EndFire Helper'!F13)</f>
        <v>1</v>
      </c>
      <c r="O48" s="201"/>
      <c r="P48" s="122">
        <f>IF('EndFire Helper'!H13="",-50,'EndFire Helper'!H13)</f>
        <v>1.5</v>
      </c>
      <c r="Q48" s="123">
        <f>IF('EndFire Helper'!I13="",0,'EndFire Helper'!I13)</f>
        <v>1.1357389249096093</v>
      </c>
      <c r="R48" s="201"/>
      <c r="S48" s="198"/>
      <c r="T48" s="198"/>
    </row>
    <row r="49" spans="2:20" x14ac:dyDescent="0.2">
      <c r="B49" s="242" t="s">
        <v>36</v>
      </c>
      <c r="C49" s="100">
        <f>C48</f>
        <v>1</v>
      </c>
      <c r="D49" s="59">
        <f t="shared" si="35"/>
        <v>1.5</v>
      </c>
      <c r="E49" s="97">
        <f t="shared" si="36"/>
        <v>4.365287235900122</v>
      </c>
      <c r="F49" s="102">
        <f t="shared" ref="F49:F54" si="44">sos/D49/4</f>
        <v>57.27</v>
      </c>
      <c r="G49" s="104">
        <f t="shared" si="42"/>
        <v>1.5061291630320477</v>
      </c>
      <c r="H49" s="103">
        <f t="shared" si="43"/>
        <v>4.3831242740004877</v>
      </c>
      <c r="I49" s="66">
        <f t="shared" si="40"/>
        <v>57.036940860411519</v>
      </c>
      <c r="J49" s="105">
        <f t="shared" ref="J49:J54" si="45">H49/E49-1</f>
        <v>4.0861086880317199E-3</v>
      </c>
      <c r="L49" s="198"/>
      <c r="M49" s="122">
        <f>IF('EndFire Helper'!E14="",-50,'EndFire Helper'!E14)</f>
        <v>0</v>
      </c>
      <c r="N49" s="123">
        <f>IF('EndFire Helper'!F14="",0,'EndFire Helper'!F14)</f>
        <v>-1</v>
      </c>
      <c r="O49" s="201"/>
      <c r="P49" s="122">
        <f>IF('EndFire Helper'!H14="",-50,'EndFire Helper'!H14)</f>
        <v>1.5</v>
      </c>
      <c r="Q49" s="123">
        <f>IF('EndFire Helper'!I14="",0,'EndFire Helper'!I14)</f>
        <v>-1.1357389249096093</v>
      </c>
      <c r="R49" s="201"/>
      <c r="S49" s="199"/>
      <c r="T49" s="198"/>
    </row>
    <row r="50" spans="2:20" x14ac:dyDescent="0.2">
      <c r="B50" s="242"/>
      <c r="C50" s="100">
        <f>C47</f>
        <v>2</v>
      </c>
      <c r="D50" s="59">
        <f t="shared" si="35"/>
        <v>1.5</v>
      </c>
      <c r="E50" s="97">
        <f t="shared" si="36"/>
        <v>4.365287235900122</v>
      </c>
      <c r="F50" s="102">
        <f t="shared" si="44"/>
        <v>57.27</v>
      </c>
      <c r="G50" s="104">
        <f t="shared" si="42"/>
        <v>1.5542926048915464</v>
      </c>
      <c r="H50" s="103">
        <f t="shared" si="43"/>
        <v>4.5232891126580128</v>
      </c>
      <c r="I50" s="66">
        <f t="shared" si="40"/>
        <v>55.269516003387395</v>
      </c>
      <c r="J50" s="105">
        <f t="shared" si="45"/>
        <v>3.619506992769761E-2</v>
      </c>
      <c r="L50" s="198"/>
      <c r="M50" s="122">
        <f>IF('EndFire Helper'!E15="",-50,'EndFire Helper'!E15)</f>
        <v>0</v>
      </c>
      <c r="N50" s="123">
        <f>IF('EndFire Helper'!F15="",0,'EndFire Helper'!F15)</f>
        <v>-3</v>
      </c>
      <c r="O50" s="201"/>
      <c r="P50" s="122">
        <f>IF('EndFire Helper'!H15="",-50,'EndFire Helper'!H15)</f>
        <v>1.5</v>
      </c>
      <c r="Q50" s="123">
        <f>IF('EndFire Helper'!I15="",0,'EndFire Helper'!I15)</f>
        <v>-3.4072167747288273</v>
      </c>
      <c r="R50" s="201"/>
      <c r="S50" s="198"/>
      <c r="T50" s="198"/>
    </row>
    <row r="51" spans="2:20" x14ac:dyDescent="0.2">
      <c r="B51" s="242"/>
      <c r="C51" s="100">
        <f>C46</f>
        <v>3</v>
      </c>
      <c r="D51" s="59">
        <f t="shared" si="35"/>
        <v>1.5</v>
      </c>
      <c r="E51" s="97">
        <f t="shared" si="36"/>
        <v>4.365287235900122</v>
      </c>
      <c r="F51" s="102">
        <f t="shared" si="44"/>
        <v>57.27</v>
      </c>
      <c r="G51" s="104">
        <f t="shared" si="42"/>
        <v>1.6463980057660461</v>
      </c>
      <c r="H51" s="103">
        <f t="shared" si="43"/>
        <v>4.7913334665212908</v>
      </c>
      <c r="I51" s="66">
        <f t="shared" si="40"/>
        <v>52.17754133517041</v>
      </c>
      <c r="J51" s="105">
        <f t="shared" si="45"/>
        <v>9.7598670510697261E-2</v>
      </c>
      <c r="L51" s="198"/>
      <c r="M51" s="122">
        <f>IF('EndFire Helper'!E16="",-50,'EndFire Helper'!E16)</f>
        <v>0</v>
      </c>
      <c r="N51" s="123">
        <f>IF('EndFire Helper'!F16="",0,'EndFire Helper'!F16)</f>
        <v>-5</v>
      </c>
      <c r="O51" s="201"/>
      <c r="P51" s="122">
        <f>IF('EndFire Helper'!H16="",-50,'EndFire Helper'!H16)</f>
        <v>1.5</v>
      </c>
      <c r="Q51" s="123">
        <f>IF('EndFire Helper'!I16="",0,'EndFire Helper'!I16)</f>
        <v>-5.6786946245480463</v>
      </c>
      <c r="R51" s="201"/>
      <c r="S51" s="198"/>
      <c r="T51" s="198"/>
    </row>
    <row r="52" spans="2:20" x14ac:dyDescent="0.2">
      <c r="B52" s="242"/>
      <c r="C52" s="100">
        <f>C45</f>
        <v>4</v>
      </c>
      <c r="D52" s="59">
        <f t="shared" si="35"/>
        <v>1.5</v>
      </c>
      <c r="E52" s="97">
        <f t="shared" si="36"/>
        <v>4.365287235900122</v>
      </c>
      <c r="F52" s="102">
        <f t="shared" si="44"/>
        <v>57.27</v>
      </c>
      <c r="G52" s="104">
        <f t="shared" si="42"/>
        <v>1.7756203792041836</v>
      </c>
      <c r="H52" s="103">
        <f t="shared" si="43"/>
        <v>5.167395318096105</v>
      </c>
      <c r="I52" s="66">
        <f t="shared" si="40"/>
        <v>48.380273737622801</v>
      </c>
      <c r="J52" s="105">
        <f t="shared" si="45"/>
        <v>0.18374691946945587</v>
      </c>
      <c r="L52" s="198"/>
      <c r="M52" s="122">
        <f>IF('EndFire Helper'!E17="",-50,'EndFire Helper'!E17)</f>
        <v>-50</v>
      </c>
      <c r="N52" s="123">
        <f>IF('EndFire Helper'!F17="",0,'EndFire Helper'!F17)</f>
        <v>0</v>
      </c>
      <c r="O52" s="201"/>
      <c r="P52" s="122">
        <f>IF('EndFire Helper'!H17="",-50,'EndFire Helper'!H17)</f>
        <v>-50</v>
      </c>
      <c r="Q52" s="123">
        <f>IF('EndFire Helper'!I17="",0,'EndFire Helper'!I17)</f>
        <v>0</v>
      </c>
      <c r="R52" s="201"/>
      <c r="S52" s="198"/>
      <c r="T52" s="198"/>
    </row>
    <row r="53" spans="2:20" x14ac:dyDescent="0.2">
      <c r="B53" s="242"/>
      <c r="C53" s="100">
        <f>C44</f>
        <v>5</v>
      </c>
      <c r="D53" s="59">
        <f t="shared" si="35"/>
        <v>1.5</v>
      </c>
      <c r="E53" s="97">
        <f t="shared" si="36"/>
        <v>4.365287235900122</v>
      </c>
      <c r="F53" s="102">
        <f t="shared" si="44"/>
        <v>57.27</v>
      </c>
      <c r="G53" s="104">
        <f t="shared" si="42"/>
        <v>1.9345359946470206</v>
      </c>
      <c r="H53" s="103">
        <f t="shared" si="43"/>
        <v>5.6298701898813244</v>
      </c>
      <c r="I53" s="66">
        <f t="shared" si="40"/>
        <v>44.405997219852402</v>
      </c>
      <c r="J53" s="105">
        <f t="shared" si="45"/>
        <v>0.28969066309801383</v>
      </c>
      <c r="L53" s="198"/>
      <c r="M53" s="122">
        <f>IF('EndFire Helper'!E18="",-50,'EndFire Helper'!E18)</f>
        <v>-50</v>
      </c>
      <c r="N53" s="123">
        <f>IF('EndFire Helper'!F18="",0,'EndFire Helper'!F18)</f>
        <v>0</v>
      </c>
      <c r="O53" s="201"/>
      <c r="P53" s="122">
        <f>IF('EndFire Helper'!H18="",-50,'EndFire Helper'!H18)</f>
        <v>-50</v>
      </c>
      <c r="Q53" s="123">
        <f>IF('EndFire Helper'!I18="",0,'EndFire Helper'!I18)</f>
        <v>0</v>
      </c>
      <c r="R53" s="201"/>
      <c r="S53" s="198"/>
      <c r="T53" s="198"/>
    </row>
    <row r="54" spans="2:20" x14ac:dyDescent="0.2">
      <c r="B54" s="244"/>
      <c r="C54" s="101">
        <f>C43</f>
        <v>6</v>
      </c>
      <c r="D54" s="59">
        <f t="shared" si="35"/>
        <v>1.5</v>
      </c>
      <c r="E54" s="97">
        <f t="shared" si="36"/>
        <v>4.365287235900122</v>
      </c>
      <c r="F54" s="102">
        <f t="shared" si="44"/>
        <v>57.27</v>
      </c>
      <c r="G54" s="104">
        <f t="shared" si="42"/>
        <v>2.1164668067346577</v>
      </c>
      <c r="H54" s="103">
        <f t="shared" si="43"/>
        <v>6.1593236910967288</v>
      </c>
      <c r="I54" s="66">
        <f t="shared" si="40"/>
        <v>40.588871853150657</v>
      </c>
      <c r="J54" s="105">
        <f t="shared" si="45"/>
        <v>0.41097787115643869</v>
      </c>
      <c r="M54" s="128">
        <f>IF('EndFire Helper'!E19="",-50,'EndFire Helper'!E19)</f>
        <v>-50</v>
      </c>
      <c r="N54" s="129">
        <f>IF('EndFire Helper'!F19="",0,'EndFire Helper'!F19)</f>
        <v>0</v>
      </c>
      <c r="O54" s="202"/>
      <c r="P54" s="128">
        <f>IF('EndFire Helper'!H19="",-50,'EndFire Helper'!H19)</f>
        <v>-50</v>
      </c>
      <c r="Q54" s="129">
        <f>IF('EndFire Helper'!I19="",0,'EndFire Helper'!I19)</f>
        <v>0</v>
      </c>
      <c r="R54" s="202"/>
    </row>
    <row r="55" spans="2:20" x14ac:dyDescent="0.2">
      <c r="L55"/>
    </row>
  </sheetData>
  <mergeCells count="29">
    <mergeCell ref="M40:O40"/>
    <mergeCell ref="P40:R40"/>
    <mergeCell ref="Z22:Z24"/>
    <mergeCell ref="D23:E23"/>
    <mergeCell ref="B25:B30"/>
    <mergeCell ref="B22:C24"/>
    <mergeCell ref="F22:H22"/>
    <mergeCell ref="I22:K22"/>
    <mergeCell ref="L22:N22"/>
    <mergeCell ref="O22:Q22"/>
    <mergeCell ref="S22:U22"/>
    <mergeCell ref="V22:X22"/>
    <mergeCell ref="B49:B54"/>
    <mergeCell ref="D40:F40"/>
    <mergeCell ref="G40:I40"/>
    <mergeCell ref="B7:B12"/>
    <mergeCell ref="B13:B18"/>
    <mergeCell ref="B31:B36"/>
    <mergeCell ref="B40:C42"/>
    <mergeCell ref="B43:B48"/>
    <mergeCell ref="B4:C6"/>
    <mergeCell ref="Z4:Z6"/>
    <mergeCell ref="O4:Q4"/>
    <mergeCell ref="L4:N4"/>
    <mergeCell ref="F4:H4"/>
    <mergeCell ref="I4:K4"/>
    <mergeCell ref="S4:U4"/>
    <mergeCell ref="V4:X4"/>
    <mergeCell ref="D5:E5"/>
  </mergeCells>
  <conditionalFormatting sqref="AC6:AC7">
    <cfRule type="cellIs" dxfId="1" priority="1" operator="lessThan">
      <formula>0</formula>
    </cfRule>
    <cfRule type="cellIs" dxfId="0" priority="2" operator="greaterThan">
      <formula>120</formula>
    </cfRule>
  </conditionalFormatting>
  <pageMargins left="0.7" right="0.7" top="0.78740157499999996" bottom="0.78740157499999996" header="0.3" footer="0.3"/>
  <pageSetup paperSize="9" orientation="portrait" r:id="rId1"/>
  <ignoredErrors>
    <ignoredError sqref="S13:S18 G13:G18 J13:J18 R13:R18 T13:T18 W13:W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31</vt:i4>
      </vt:variant>
    </vt:vector>
  </HeadingPairs>
  <TitlesOfParts>
    <vt:vector size="33" baseType="lpstr">
      <vt:lpstr>EndFire Helper</vt:lpstr>
      <vt:lpstr>calc</vt:lpstr>
      <vt:lpstr>AcC_row2</vt:lpstr>
      <vt:lpstr>AcC_virtual</vt:lpstr>
      <vt:lpstr>ArrayAngle</vt:lpstr>
      <vt:lpstr>ArrayDepth</vt:lpstr>
      <vt:lpstr>ArrayDirection</vt:lpstr>
      <vt:lpstr>ArrayWidth</vt:lpstr>
      <vt:lpstr>BestCancel</vt:lpstr>
      <vt:lpstr>CancelF</vt:lpstr>
      <vt:lpstr>distance</vt:lpstr>
      <vt:lpstr>HPF</vt:lpstr>
      <vt:lpstr>LPF</vt:lpstr>
      <vt:lpstr>MainSwtch</vt:lpstr>
      <vt:lpstr>OffsetRot</vt:lpstr>
      <vt:lpstr>OffsetRotDG</vt:lpstr>
      <vt:lpstr>offsetT</vt:lpstr>
      <vt:lpstr>OffsetVenue</vt:lpstr>
      <vt:lpstr>offsetX</vt:lpstr>
      <vt:lpstr>offsetY</vt:lpstr>
      <vt:lpstr>RotateSpkr</vt:lpstr>
      <vt:lpstr>Single_splay</vt:lpstr>
      <vt:lpstr>sos</vt:lpstr>
      <vt:lpstr>Spacing_row1</vt:lpstr>
      <vt:lpstr>Spkr_in_row1</vt:lpstr>
      <vt:lpstr>temperature</vt:lpstr>
      <vt:lpstr>time</vt:lpstr>
      <vt:lpstr>userAngle</vt:lpstr>
      <vt:lpstr>userDirection</vt:lpstr>
      <vt:lpstr>userSpkr</vt:lpstr>
      <vt:lpstr>VenueDepth</vt:lpstr>
      <vt:lpstr>VenueWidth</vt:lpstr>
      <vt:lpstr>WindowPadding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Buchtele</dc:creator>
  <cp:lastModifiedBy>Jonathan Lafontaine</cp:lastModifiedBy>
  <cp:lastPrinted>2018-01-20T14:27:52Z</cp:lastPrinted>
  <dcterms:created xsi:type="dcterms:W3CDTF">2017-09-25T20:27:22Z</dcterms:created>
  <dcterms:modified xsi:type="dcterms:W3CDTF">2025-11-28T03:02:23Z</dcterms:modified>
</cp:coreProperties>
</file>